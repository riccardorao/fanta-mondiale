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a2agroup-my.sharepoint.com/personal/matteo_polletta_a2a_it/Documents/Desktop/"/>
    </mc:Choice>
  </mc:AlternateContent>
  <xr:revisionPtr revIDLastSave="0" documentId="8_{F57711F6-4C64-46C1-9324-BFE0434F71A2}" xr6:coauthVersionLast="47" xr6:coauthVersionMax="47" xr10:uidLastSave="{00000000-0000-0000-0000-000000000000}"/>
  <bookViews>
    <workbookView xWindow="-108" yWindow="-108" windowWidth="23256" windowHeight="12456" tabRatio="716" xr2:uid="{4DDE4551-F0E8-0646-9805-5D2DA8495CA6}"/>
  </bookViews>
  <sheets>
    <sheet name="Bracket" sheetId="3" r:id="rId1"/>
    <sheet name="Terze" sheetId="6"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P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1" i="3" l="1"/>
  <c r="AP69" i="3"/>
  <c r="AP36" i="3"/>
  <c r="AP20" i="3"/>
  <c r="AP78" i="3"/>
  <c r="AP50" i="3"/>
  <c r="AP76" i="3"/>
  <c r="AP41" i="3"/>
  <c r="AP6" i="3"/>
  <c r="AP7" i="3"/>
  <c r="AP61" i="3"/>
  <c r="AP35" i="3"/>
  <c r="AP56" i="3"/>
  <c r="AP70" i="3"/>
  <c r="AP43" i="3"/>
  <c r="AP28" i="3"/>
  <c r="AP22" i="3"/>
  <c r="AP14" i="3"/>
  <c r="AP13" i="3"/>
  <c r="AP5" i="3"/>
  <c r="AP8" i="3"/>
  <c r="AP54" i="3"/>
  <c r="AP55" i="3"/>
  <c r="AP77" i="3"/>
  <c r="G77" i="3" s="1" a="1"/>
  <c r="G77" i="3" s="1"/>
  <c r="AU16" i="3" s="1"/>
  <c r="AP26" i="3"/>
  <c r="AP33" i="3"/>
  <c r="AP21" i="3"/>
  <c r="AP68" i="3"/>
  <c r="AP34" i="3"/>
  <c r="AP64" i="3"/>
  <c r="AP85" i="3"/>
  <c r="AP75" i="3"/>
  <c r="AP83" i="3"/>
  <c r="AP63" i="3"/>
  <c r="AP48" i="3"/>
  <c r="AP42" i="3"/>
  <c r="AP29" i="3"/>
  <c r="AP84" i="3"/>
  <c r="AP15" i="3"/>
  <c r="AP40" i="3"/>
  <c r="AP12" i="3"/>
  <c r="AP49" i="3"/>
  <c r="AP82" i="3"/>
  <c r="AP62" i="3"/>
  <c r="AP47" i="3"/>
  <c r="AP19" i="3"/>
  <c r="H57" i="3" l="1" a="1"/>
  <c r="H57" i="3" s="1"/>
  <c r="G75" i="3" a="1"/>
  <c r="G75" i="3" s="1"/>
  <c r="AV14" i="3" a="1"/>
  <c r="AV14" i="3" s="1"/>
  <c r="AV12" i="3" a="1"/>
  <c r="AV12" i="3" s="1"/>
  <c r="G56" i="3" a="1"/>
  <c r="G56" i="3" s="1"/>
  <c r="AU13" i="3" s="1"/>
  <c r="G54" i="3" a="1"/>
  <c r="G54" i="3" s="1"/>
  <c r="K25" i="3" s="1"/>
  <c r="P24"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U27" i="3" s="1"/>
  <c r="Z20" i="3" s="1"/>
  <c r="AE35"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P56"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P40"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K5" i="3" l="1"/>
  <c r="K29" i="3" l="1"/>
  <c r="K53" i="3"/>
  <c r="P55" i="3" s="1"/>
  <c r="U59" i="3" s="1"/>
  <c r="K65" i="3" l="1"/>
  <c r="P64" i="3" s="1"/>
  <c r="K38" i="3" l="1"/>
  <c r="P39" i="3" s="1"/>
  <c r="U43" i="3" s="1"/>
  <c r="Z51"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K22" i="3"/>
  <c r="AE36" i="3" l="1"/>
  <c r="AE44" i="3"/>
  <c r="AJ38" i="3" s="1"/>
  <c r="AU26" i="3"/>
  <c r="J6" i="3" s="1"/>
  <c r="K6" i="3" s="1"/>
  <c r="P7" i="3" s="1"/>
  <c r="AU28" i="3"/>
  <c r="J10" i="3" s="1"/>
  <c r="K10" i="3" s="1"/>
  <c r="P8" i="3" s="1"/>
  <c r="U11" i="3" s="1"/>
  <c r="Z19" i="3" s="1"/>
  <c r="AE43" i="3" s="1"/>
  <c r="AJ37" i="3" s="1"/>
  <c r="AU27" i="3"/>
  <c r="J34" i="3" s="1"/>
  <c r="K34" i="3" s="1"/>
  <c r="P32" i="3" s="1"/>
  <c r="AU30" i="3"/>
  <c r="J50" i="3" s="1"/>
  <c r="K50" i="3" s="1"/>
  <c r="AU23" i="3"/>
  <c r="J46" i="3" s="1"/>
  <c r="K46" i="3" s="1"/>
  <c r="P47" i="3" s="1"/>
  <c r="AU25" i="3"/>
  <c r="J30" i="3" s="1"/>
  <c r="K30" i="3" s="1"/>
  <c r="P31" i="3" s="1"/>
  <c r="AU29" i="3"/>
  <c r="J66" i="3" s="1"/>
  <c r="K66" i="3" s="1"/>
  <c r="AJ35" i="3" l="1"/>
  <c r="AJ36" i="3"/>
  <c r="U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<sst xmlns="http://schemas.openxmlformats.org/spreadsheetml/2006/main" count="4801" uniqueCount="671">
  <si>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</si>
  <si>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</si>
  <si>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</si>
  <si>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</si>
  <si>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</si>
  <si>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</si>
  <si>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</si>
  <si>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</si>
  <si>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</si>
  <si>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</si>
  <si>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</si>
  <si>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</si>
  <si>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</si>
  <si>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</si>
  <si>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</si>
  <si>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</si>
  <si>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</si>
  <si>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</si>
  <si>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</si>
  <si>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</si>
  <si>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</si>
  <si>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</si>
  <si>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</si>
  <si>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</si>
  <si>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</si>
  <si>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</si>
  <si>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</si>
  <si>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</si>
  <si>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</si>
  <si>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</si>
  <si>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</si>
  <si>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</si>
  <si>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</si>
  <si>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</si>
  <si>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</si>
  <si>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</si>
  <si>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</si>
  <si>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</si>
  <si>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</si>
  <si>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</si>
  <si>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</si>
  <si>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</si>
  <si>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</si>
  <si>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</si>
  <si>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</si>
  <si>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</si>
  <si>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</si>
  <si>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</si>
  <si>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</si>
  <si>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</si>
  <si>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</si>
  <si>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</si>
  <si>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</si>
  <si>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</si>
  <si>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</si>
  <si>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</si>
  <si>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</si>
  <si>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</si>
  <si>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</si>
  <si>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</si>
  <si>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</si>
  <si>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</si>
  <si>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</si>
  <si>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</si>
  <si>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</si>
  <si>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</si>
  <si>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</si>
  <si>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</si>
  <si>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</si>
  <si>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</si>
  <si>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</si>
  <si>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</si>
  <si>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</si>
  <si>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</si>
  <si>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</si>
  <si>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</si>
  <si>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</si>
  <si>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</si>
  <si>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</si>
  <si>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</si>
  <si>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</si>
  <si>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</si>
  <si>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</si>
  <si>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</si>
  <si>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</si>
  <si>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</si>
  <si>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</si>
  <si>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</si>
  <si>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</si>
  <si>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</si>
  <si>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</si>
  <si>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</si>
  <si>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</si>
  <si>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</si>
  <si>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</si>
  <si>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</si>
  <si>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</si>
  <si>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</si>
  <si>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</si>
  <si>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</si>
  <si>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</si>
  <si>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</si>
  <si>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</si>
  <si>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</si>
  <si>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</si>
  <si>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</si>
  <si>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</si>
  <si>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</si>
  <si>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</si>
  <si>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</si>
  <si>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</si>
  <si>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</si>
  <si>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</si>
  <si>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</si>
  <si>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</si>
  <si>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</si>
  <si>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</si>
  <si>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</si>
  <si>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</si>
  <si>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</si>
  <si>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</si>
  <si>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</si>
  <si>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</si>
  <si>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</si>
  <si>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</si>
  <si>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</si>
  <si>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</si>
  <si>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</si>
  <si>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</si>
  <si>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</si>
  <si>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</si>
  <si>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</si>
  <si>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</si>
  <si>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</si>
  <si>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</si>
  <si>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</si>
  <si>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</si>
  <si>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</si>
  <si>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</si>
  <si>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</si>
  <si>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</si>
  <si>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</si>
  <si>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</si>
  <si>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</si>
  <si>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</si>
  <si>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</si>
  <si>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</si>
  <si>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</si>
  <si>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</si>
  <si>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</si>
  <si>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</si>
  <si>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</si>
  <si>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</si>
  <si>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</si>
  <si>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</si>
  <si>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</si>
  <si>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</si>
  <si>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</si>
  <si>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</si>
  <si>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</si>
  <si>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</si>
  <si>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</si>
  <si>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</si>
  <si>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</si>
  <si>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</si>
  <si>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</si>
  <si>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</si>
  <si>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</si>
  <si>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</si>
  <si>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</si>
  <si>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</si>
  <si>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</si>
  <si>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</si>
  <si>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</si>
  <si>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</si>
  <si>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</si>
  <si>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</si>
  <si>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</si>
  <si>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</si>
  <si>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</si>
  <si>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</si>
  <si>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</si>
  <si>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</si>
  <si>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</si>
  <si>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</si>
  <si>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</si>
  <si>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</si>
  <si>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</si>
  <si>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</si>
  <si>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</si>
  <si>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</si>
  <si>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</si>
  <si>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</si>
  <si>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</si>
  <si>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</si>
  <si>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</si>
  <si>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</si>
  <si>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</si>
  <si>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</si>
  <si>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</si>
  <si>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</si>
  <si>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</si>
  <si>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</si>
  <si>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</si>
  <si>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</si>
  <si>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</si>
  <si>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</si>
  <si>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</si>
  <si>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</si>
  <si>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</si>
  <si>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</si>
  <si>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</si>
  <si>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</si>
  <si>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</si>
  <si>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</si>
  <si>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</si>
  <si>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</si>
  <si>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</si>
  <si>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</si>
  <si>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</si>
  <si>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</si>
  <si>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</si>
  <si>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</si>
  <si>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</si>
  <si>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</si>
  <si>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</si>
  <si>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</si>
  <si>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</si>
  <si>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</si>
  <si>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</si>
  <si>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</si>
  <si>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</si>
  <si>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</si>
  <si>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</si>
  <si>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</si>
  <si>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</si>
  <si>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</si>
  <si>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</si>
  <si>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</si>
  <si>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</si>
  <si>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</si>
  <si>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</si>
  <si>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</si>
  <si>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</si>
  <si>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</si>
  <si>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</si>
  <si>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</si>
  <si>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</si>
  <si>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</si>
  <si>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</si>
  <si>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</si>
  <si>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</si>
  <si>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</si>
  <si>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</si>
  <si>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</si>
  <si>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</si>
  <si>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</si>
  <si>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</si>
  <si>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</si>
  <si>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</si>
  <si>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</si>
  <si>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</si>
  <si>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</si>
  <si>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</si>
  <si>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</si>
  <si>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</si>
  <si>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</si>
  <si>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</si>
  <si>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</si>
  <si>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</si>
  <si>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</si>
  <si>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</si>
  <si>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</si>
  <si>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</si>
  <si>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</si>
  <si>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</si>
  <si>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</si>
  <si>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</si>
  <si>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</si>
  <si>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</si>
  <si>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</si>
  <si>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</si>
  <si>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</si>
  <si>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</si>
  <si>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</si>
  <si>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</si>
  <si>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</si>
  <si>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</si>
  <si>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</si>
  <si>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</si>
  <si>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</si>
  <si>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</si>
  <si>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</si>
  <si>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</si>
  <si>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</si>
  <si>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</si>
  <si>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</si>
  <si>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</si>
  <si>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</si>
  <si>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</si>
  <si>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</si>
  <si>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</si>
  <si>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</si>
  <si>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</si>
  <si>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</si>
  <si>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</si>
  <si>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</si>
  <si>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</si>
  <si>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</si>
  <si>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</si>
  <si>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</si>
  <si>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</si>
  <si>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</si>
  <si>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</si>
  <si>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</si>
  <si>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</si>
  <si>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</si>
  <si>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</si>
  <si>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</si>
  <si>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</si>
  <si>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</si>
  <si>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</si>
  <si>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</si>
  <si>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</si>
  <si>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</si>
  <si>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</si>
  <si>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</si>
  <si>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</si>
  <si>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</si>
  <si>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</si>
  <si>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</si>
  <si>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</si>
  <si>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</si>
  <si>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</si>
  <si>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</si>
  <si>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</si>
  <si>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</si>
  <si>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</si>
  <si>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</si>
  <si>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</si>
  <si>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</si>
  <si>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</si>
  <si>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</si>
  <si>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</si>
  <si>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</si>
  <si>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</si>
  <si>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</si>
  <si>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</si>
  <si>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</si>
  <si>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</si>
  <si>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</si>
  <si>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</si>
  <si>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</si>
  <si>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</si>
  <si>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</si>
  <si>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</si>
  <si>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</si>
  <si>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</si>
  <si>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</si>
  <si>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</si>
  <si>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</si>
  <si>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</si>
  <si>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</si>
  <si>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</si>
  <si>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</si>
  <si>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</si>
  <si>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</si>
  <si>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</si>
  <si>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</si>
  <si>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</si>
  <si>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</si>
  <si>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</si>
  <si>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</si>
  <si>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</si>
  <si>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</si>
  <si>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</si>
  <si>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</si>
  <si>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</si>
  <si>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</si>
  <si>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</si>
  <si>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</si>
  <si>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</si>
  <si>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</si>
  <si>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</si>
  <si>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</si>
  <si>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</si>
  <si>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</si>
  <si>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</si>
  <si>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</si>
  <si>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</si>
  <si>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</si>
  <si>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</si>
  <si>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</si>
  <si>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</si>
  <si>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</si>
  <si>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</si>
  <si>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</si>
  <si>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</si>
  <si>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</si>
  <si>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</si>
  <si>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</si>
  <si>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</si>
  <si>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</si>
  <si>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</si>
  <si>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</si>
  <si>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</si>
  <si>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</si>
  <si>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</si>
  <si>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</si>
  <si>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</si>
  <si>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</si>
  <si>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</si>
  <si>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</si>
  <si>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</si>
  <si>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</si>
  <si>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</si>
  <si>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</si>
  <si>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</si>
  <si>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</si>
  <si>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</si>
  <si>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</si>
  <si>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</si>
  <si>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</si>
  <si>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</si>
  <si>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</si>
  <si>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</si>
  <si>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</si>
  <si>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</si>
  <si>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</si>
  <si>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</si>
  <si>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</si>
  <si>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</si>
  <si>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</si>
  <si>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</si>
  <si>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</si>
  <si>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</si>
  <si>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</si>
  <si>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</si>
  <si>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</si>
  <si>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</si>
  <si>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</si>
  <si>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</si>
  <si>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</si>
  <si>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</si>
  <si>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</si>
  <si>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</si>
  <si>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</si>
  <si>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</si>
  <si>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</si>
  <si>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</si>
  <si>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</si>
  <si>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</si>
  <si>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</si>
  <si>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</si>
  <si>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</si>
  <si>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</si>
  <si>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</si>
  <si>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</si>
  <si>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</si>
  <si>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</si>
  <si>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</si>
  <si>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</si>
  <si>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</si>
  <si>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</si>
  <si>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</si>
  <si>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</si>
  <si>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</si>
  <si>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</si>
  <si>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</si>
  <si>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</si>
  <si>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</si>
  <si>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</si>
  <si>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</si>
  <si>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</si>
  <si>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</si>
  <si>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</si>
  <si>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</si>
  <si>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</si>
  <si>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</si>
  <si>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</si>
  <si>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</si>
  <si>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</si>
  <si>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</si>
  <si>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</si>
  <si>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</si>
  <si>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</si>
  <si>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</si>
  <si>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</si>
  <si>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</si>
  <si>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</si>
  <si>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</si>
  <si>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</si>
  <si>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</si>
  <si>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</si>
  <si>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</si>
  <si>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</si>
  <si>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</si>
  <si>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</si>
  <si>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</si>
  <si>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</si>
  <si>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</si>
  <si>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</si>
  <si>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</si>
  <si>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</si>
  <si>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</si>
  <si>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</si>
  <si>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</si>
  <si>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</si>
  <si>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</si>
  <si>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</si>
  <si>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</si>
  <si>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</si>
  <si>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</si>
  <si>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</si>
  <si>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</si>
  <si>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</si>
  <si>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</si>
  <si>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</si>
  <si>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</si>
  <si>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</si>
  <si>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</si>
  <si>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</si>
  <si>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</si>
  <si>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</si>
  <si>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</si>
  <si>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</si>
  <si>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</si>
  <si>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</si>
  <si>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</si>
  <si>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</si>
  <si>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</si>
  <si>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</si>
  <si>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</si>
  <si>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</si>
  <si>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</si>
  <si>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</si>
  <si>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</si>
  <si>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</si>
  <si>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</si>
  <si>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</si>
  <si>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</si>
  <si>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</si>
  <si>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</si>
  <si>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</si>
  <si>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</si>
  <si>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</si>
  <si>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</si>
  <si>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</si>
  <si>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</si>
  <si>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</si>
  <si>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</si>
  <si>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</si>
  <si>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</si>
  <si>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</si>
  <si>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</si>
  <si>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</si>
  <si>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</si>
  <si>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</si>
  <si>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</si>
  <si>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</si>
  <si>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</si>
  <si>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</si>
  <si>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</si>
  <si>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</si>
  <si>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</si>
  <si>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</si>
  <si>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</si>
  <si>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</si>
  <si>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</si>
  <si>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</si>
  <si>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</si>
  <si>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</si>
  <si>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</si>
  <si>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</si>
  <si>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</si>
  <si>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</si>
  <si>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</si>
  <si>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</si>
  <si>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</si>
  <si>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</si>
  <si>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</si>
  <si>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</si>
  <si>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</si>
  <si>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</si>
  <si>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</si>
  <si>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</si>
  <si>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</si>
  <si>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</si>
  <si>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</si>
  <si>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</si>
  <si>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</si>
  <si>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</si>
  <si>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</si>
  <si>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</si>
  <si>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</si>
  <si>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</si>
  <si>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</si>
  <si>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</si>
  <si>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</si>
  <si>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</si>
  <si>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</si>
  <si>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</si>
  <si>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</si>
  <si>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</si>
  <si>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</si>
  <si>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</si>
  <si>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</si>
  <si>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</si>
  <si>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</si>
  <si>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</si>
  <si>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</si>
  <si>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</si>
  <si>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</si>
  <si>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</si>
  <si>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</si>
  <si>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</si>
  <si>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</si>
  <si>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</si>
  <si>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</si>
  <si>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</si>
  <si>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</si>
  <si>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</si>
  <si>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</si>
  <si>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</si>
  <si>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</si>
  <si>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</si>
  <si>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</si>
  <si>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</si>
  <si>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</si>
  <si>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</si>
  <si>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</si>
  <si>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</si>
  <si>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</si>
  <si>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</si>
  <si>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</si>
  <si>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</si>
  <si>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</si>
  <si>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</si>
  <si>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</si>
  <si>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</si>
  <si>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</si>
  <si>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</si>
  <si>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</si>
  <si>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</si>
  <si>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</si>
  <si>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</si>
  <si>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</si>
  <si>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</si>
  <si>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</si>
  <si>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</si>
  <si>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</si>
  <si>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</si>
  <si>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</si>
  <si>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</si>
  <si>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</si>
  <si>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</si>
  <si>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</si>
  <si>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</si>
  <si>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</si>
  <si>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</si>
  <si>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</si>
  <si>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</si>
  <si>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</si>
  <si>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</si>
  <si>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</si>
  <si>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</si>
  <si>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</si>
  <si>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</si>
  <si>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</si>
  <si>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KANE</t>
  </si>
  <si>
    <t>MATTEO POLLETTA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</si>
</sst>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A38" zoomScale="42" zoomScaleNormal="100" workbookViewId="0">
      <selection activeCell="AD55" sqref="AD55:AL58"/>
    </sheetView>
  </sheetViews>
  <sheetFormatPr defaultColWidth="10.796875" defaultRowHeight="19.95"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19.95" customHeight="1" x14ac:dyDescent="0.3">
      <c r="AW1" s="35"/>
      <c r="AX1" s="3"/>
      <c r="AY1" s="3"/>
      <c r="AZ1" s="3"/>
    </row>
    <row r="2" spans="1:52" ht="19.95" customHeight="1" x14ac:dyDescent="0.3">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19.95" customHeight="1" x14ac:dyDescent="0.3">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19.95" customHeight="1" x14ac:dyDescent="0.3">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19.95" customHeight="1" x14ac:dyDescent="0.3">
      <c r="A5" s="5"/>
      <c r="B5" s="6" t="s">
        <v>612</v>
      </c>
      <c r="C5" s="7" t="s">
        <v>613</v>
      </c>
      <c r="D5" s="8">
        <v>3</v>
      </c>
      <c r="E5" s="8">
        <v>1</v>
      </c>
      <c r="F5" s="9" t="s">
        <v>0</v>
      </c>
      <c r="G5" s="10" t="str" cm="1">
        <f t="array" ref="G5">IF(SUMPRODUCT((LEN($D$5:$D$10)&gt;0)*(LEN($E$5:$E$10)&gt;0))=0,"",IFERROR(INDEX($AN$5:$AN$8,MATCH(LARGE($AP$5:$AP$8,1),$AP$5:$AP$8,0)),""))</f>
        <v>MEXICO</v>
      </c>
      <c r="H5" s="10" cm="1">
        <f t="array" ref="H5">IF(SUMPRODUCT((LEN($D$5:$D$10)&gt;0)*(LEN($E$5:$E$10)&gt;0))=0,"",IFERROR(INDEX($AO$5:$AO$8,MATCH(LARGE($AP$5:$AP$8,1),$AP$5:$AP$8,0)),""))</f>
        <v>9</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9</v>
      </c>
      <c r="AP5" s="34">
        <f>AO5*1000000+(AQ5-AR5)*1000+AQ5*10-0</f>
        <v>9004080</v>
      </c>
      <c r="AQ5" s="34" cm="1">
        <f t="array" ref="AQ5">SUMPRODUCT(($B$5:$B$10=AN5)*$D$5:$D$10)+SUMPRODUCT(($C$5:$C$10=AN5)*$E$5:$E$10)</f>
        <v>8</v>
      </c>
      <c r="AR5" s="34" cm="1">
        <f t="array" ref="AR5">SUMPRODUCT(($B$5:$B$10=AN5)*$E$5:$E$10)+SUMPRODUCT(($C$5:$C$10=AN5)*$D$5:$D$10)</f>
        <v>4</v>
      </c>
      <c r="AT5" s="36" t="s">
        <v>662</v>
      </c>
      <c r="AU5" s="36" t="s">
        <v>663</v>
      </c>
      <c r="AV5" s="36" t="s">
        <v>664</v>
      </c>
      <c r="AW5" s="36" t="s">
        <v>665</v>
      </c>
      <c r="AX5" s="3"/>
      <c r="AY5" s="3"/>
      <c r="AZ5" s="3"/>
    </row>
    <row r="6" spans="1:52" ht="19.95" customHeight="1" x14ac:dyDescent="0.3">
      <c r="A6" s="5"/>
      <c r="B6" s="13" t="s">
        <v>614</v>
      </c>
      <c r="C6" s="7" t="s">
        <v>615</v>
      </c>
      <c r="D6" s="8">
        <v>1</v>
      </c>
      <c r="E6" s="8">
        <v>1</v>
      </c>
      <c r="F6" s="9" t="s">
        <v>1</v>
      </c>
      <c r="G6" s="10" t="str" cm="1">
        <f t="array" ref="G6">IF(SUMPRODUCT((LEN($D$5:$D$10)&gt;0)*(LEN($E$5:$E$10)&gt;0))=0,"",IFERROR(INDEX($AN$5:$AN$8,MATCH(LARGE($AP$5:$AP$8,2),$AP$5:$AP$8,0)),""))</f>
        <v>SOUTH KOREA</v>
      </c>
      <c r="H6" s="10" cm="1">
        <f t="array" ref="H6">IF(SUMPRODUCT((LEN($D$5:$D$10)&gt;0)*(LEN($E$5:$E$10)&gt;0))=0,"",IFERROR(INDEX($AO$5:$AO$8,MATCH(LARGE($AP$5:$AP$8,2),$AP$5:$AP$8,0)),""))</f>
        <v>4</v>
      </c>
      <c r="J6" s="14" t="str">
        <f>AU26</f>
        <v>3C</v>
      </c>
      <c r="K6" s="15" t="str">
        <f>_xlfn.XLOOKUP(J6,$F$5:$F$85,$G$5:$G$85, "")</f>
        <v>SCOTLAND</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-5991</v>
      </c>
      <c r="AQ6" s="34" cm="1">
        <f t="array" ref="AQ6">SUMPRODUCT(($B$5:$B$10=AN6)*$D$5:$D$10)+SUMPRODUCT(($C$5:$C$10=AN6)*$E$5:$E$10)</f>
        <v>1</v>
      </c>
      <c r="AR6" s="34" cm="1">
        <f t="array" ref="AR6">SUMPRODUCT(($B$5:$B$10=AN6)*$E$5:$E$10)+SUMPRODUCT(($C$5:$C$10=AN6)*$D$5:$D$10)</f>
        <v>7</v>
      </c>
      <c r="AT6" s="36" t="s">
        <v>2</v>
      </c>
      <c r="AU6" s="36" t="str">
        <f t="shared" ref="AU6:AU17" si="0">_xlfn.XLOOKUP(AT6,$F$5:$F$85,$G$5:$G$85,"")</f>
        <v>CZECHIA</v>
      </c>
      <c r="AV6" s="36" cm="1">
        <f t="array" ref="AV6">IF(SUMPRODUCT((LEN($D$5:$D$10)&gt;0)*(LEN($E$5:$E$10)&gt;0))=0,"",LARGE($AP$5:$AP$8,3)-0)</f>
        <v>4001037</v>
      </c>
      <c r="AW6" s="36">
        <f t="shared" ref="AW6:AW17" si="1">IF(AV6="","",RANK(AV6,$AV$6:$AV$17,0))</f>
        <v>1</v>
      </c>
      <c r="AX6" s="3"/>
      <c r="AY6" s="3"/>
      <c r="AZ6" s="3"/>
    </row>
    <row r="7" spans="1:52" ht="19.95" customHeight="1" x14ac:dyDescent="0.3">
      <c r="A7" s="5"/>
      <c r="B7" s="13" t="s">
        <v>615</v>
      </c>
      <c r="C7" s="7" t="s">
        <v>613</v>
      </c>
      <c r="D7" s="8">
        <v>2</v>
      </c>
      <c r="E7" s="8">
        <v>0</v>
      </c>
      <c r="F7" s="16" t="s">
        <v>2</v>
      </c>
      <c r="G7" s="17" t="str" cm="1">
        <f t="array" ref="G7">IF(SUMPRODUCT((LEN($D$5:$D$10)&gt;0)*(LEN($E$5:$E$10)&gt;0))=0,"",IFERROR(INDEX($AN$5:$AN$8,MATCH(LARGE($AP$5:$AP$8,3),$AP$5:$AP$8,0)),""))</f>
        <v>CZECHIA</v>
      </c>
      <c r="H7" s="17" cm="1">
        <f t="array" ref="H7">IF(SUMPRODUCT((LEN($D$5:$D$10)&gt;0)*(LEN($E$5:$E$10)&gt;0))=0,"",IFERROR(INDEX($AO$5:$AO$8,MATCH(LARGE($AP$5:$AP$8,3),$AP$5:$AP$8,0)),""))</f>
        <v>4</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4</v>
      </c>
      <c r="AP7" s="34">
        <f>AO7*1000000+(AQ7-AR7)*1000+AQ7*10-2</f>
        <v>4001048</v>
      </c>
      <c r="AQ7" s="34" cm="1">
        <f t="array" ref="AQ7">SUMPRODUCT(($B$5:$B$10=AN7)*$D$5:$D$10)+SUMPRODUCT(($C$5:$C$10=AN7)*$E$5:$E$10)</f>
        <v>5</v>
      </c>
      <c r="AR7" s="34" cm="1">
        <f t="array" ref="AR7">SUMPRODUCT(($B$5:$B$10=AN7)*$E$5:$E$10)+SUMPRODUCT(($C$5:$C$10=AN7)*$D$5:$D$10)</f>
        <v>4</v>
      </c>
      <c r="AT7" s="36" t="s">
        <v>6</v>
      </c>
      <c r="AU7" s="36" t="str">
        <f t="shared" si="0"/>
        <v>BOSNIA H.</v>
      </c>
      <c r="AV7" s="36" cm="1">
        <f t="array" ref="AV7">IF(SUMPRODUCT((LEN($D$12:$D$17)&gt;0)*(LEN($E$12:$E$17)&gt;0))=0,"",LARGE($AP$12:$AP$15,3)-1)</f>
        <v>2999018</v>
      </c>
      <c r="AW7" s="36">
        <f t="shared" si="1"/>
        <v>6</v>
      </c>
      <c r="AX7" s="3"/>
      <c r="AY7" s="3"/>
      <c r="AZ7" s="3"/>
    </row>
    <row r="8" spans="1:52" ht="19.95" customHeight="1" x14ac:dyDescent="0.3">
      <c r="A8" s="5"/>
      <c r="B8" s="13" t="s">
        <v>612</v>
      </c>
      <c r="C8" s="7" t="s">
        <v>614</v>
      </c>
      <c r="D8" s="8">
        <v>3</v>
      </c>
      <c r="E8" s="8">
        <v>2</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4</v>
      </c>
      <c r="AP8" s="34">
        <f>AO8*1000000+(AQ8-AR8)*1000+AQ8*10-3</f>
        <v>4001037</v>
      </c>
      <c r="AQ8" s="34" cm="1">
        <f t="array" ref="AQ8">SUMPRODUCT(($B$5:$B$10=AN8)*$D$5:$D$10)+SUMPRODUCT(($C$5:$C$10=AN8)*$E$5:$E$10)</f>
        <v>4</v>
      </c>
      <c r="AR8" s="34" cm="1">
        <f t="array" ref="AR8">SUMPRODUCT(($B$5:$B$10=AN8)*$E$5:$E$10)+SUMPRODUCT(($C$5:$C$10=AN8)*$D$5:$D$10)</f>
        <v>3</v>
      </c>
      <c r="AT8" s="36" t="s">
        <v>10</v>
      </c>
      <c r="AU8" s="36" t="str">
        <f t="shared" si="0"/>
        <v>SCOTLAND</v>
      </c>
      <c r="AV8" s="36" cm="1">
        <f t="array" ref="AV8">IF(SUMPRODUCT((LEN($D$19:$D$24)&gt;0)*(LEN($E$19:$E$24)&gt;0))=0,"",LARGE($AP$19:$AP$22,3)-2)</f>
        <v>4000045</v>
      </c>
      <c r="AW8" s="36">
        <f t="shared" si="1"/>
        <v>3</v>
      </c>
      <c r="AX8" s="3"/>
      <c r="AY8" s="3"/>
      <c r="AZ8" s="3"/>
    </row>
    <row r="9" spans="1:52" ht="19.95" customHeight="1" x14ac:dyDescent="0.3">
      <c r="A9" s="5"/>
      <c r="B9" s="13" t="s">
        <v>615</v>
      </c>
      <c r="C9" s="7" t="s">
        <v>612</v>
      </c>
      <c r="D9" s="8">
        <v>1</v>
      </c>
      <c r="E9" s="8">
        <v>2</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997026</v>
      </c>
      <c r="AW9" s="36">
        <f t="shared" si="1"/>
        <v>10</v>
      </c>
      <c r="AX9" s="3"/>
      <c r="AY9" s="3"/>
      <c r="AZ9" s="3"/>
    </row>
    <row r="10" spans="1:52" ht="19.95" customHeight="1" x14ac:dyDescent="0.3">
      <c r="A10" s="5"/>
      <c r="B10" s="6" t="s">
        <v>613</v>
      </c>
      <c r="C10" s="22" t="s">
        <v>614</v>
      </c>
      <c r="D10" s="8">
        <v>0</v>
      </c>
      <c r="E10" s="8">
        <v>2</v>
      </c>
      <c r="F10" s="6"/>
      <c r="G10" s="23"/>
      <c r="H10" s="24"/>
      <c r="J10" s="14" t="str">
        <f>AU28</f>
        <v>3F</v>
      </c>
      <c r="K10" s="15" t="str">
        <f>_xlfn.XLOOKUP(J10,$F$5:$F$85,$G$5:$G$85, "")</f>
        <v>SWEDEN</v>
      </c>
      <c r="L10" s="46"/>
      <c r="M10" s="44"/>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4000054</v>
      </c>
      <c r="AW10" s="36">
        <f t="shared" si="1"/>
        <v>2</v>
      </c>
      <c r="AX10" s="3"/>
      <c r="AY10" s="3"/>
      <c r="AZ10" s="3"/>
    </row>
    <row r="11" spans="1:52" ht="19.95" customHeight="1" x14ac:dyDescent="0.3">
      <c r="B11" s="53" t="s">
        <v>599</v>
      </c>
      <c r="C11" s="54"/>
      <c r="D11" s="54"/>
      <c r="E11" s="54"/>
      <c r="F11" s="54"/>
      <c r="G11" s="54"/>
      <c r="H11" s="55"/>
      <c r="J11" s="4"/>
      <c r="K11" s="4"/>
      <c r="L11" s="4"/>
      <c r="M11" s="4"/>
      <c r="N11" s="4"/>
      <c r="O11" s="4"/>
      <c r="P11" s="4"/>
      <c r="Q11" s="4"/>
      <c r="R11" s="4"/>
      <c r="S11" s="4"/>
      <c r="T11" s="11" t="s">
        <v>24</v>
      </c>
      <c r="U11" s="12" t="str">
        <f>IF(Q7="","",IF(Q7=1, P7, P8))</f>
        <v>FRANCE</v>
      </c>
      <c r="V11" s="45">
        <v>1</v>
      </c>
      <c r="W11" s="43" t="s">
        <v>32</v>
      </c>
      <c r="X11" s="4"/>
      <c r="Y11" s="4"/>
      <c r="Z11" s="4"/>
      <c r="AA11" s="4"/>
      <c r="AB11" s="4"/>
      <c r="AT11" s="36" t="s">
        <v>22</v>
      </c>
      <c r="AU11" s="36" t="str">
        <f t="shared" si="0"/>
        <v>SWEDEN</v>
      </c>
      <c r="AV11" s="36" cm="1">
        <f t="array" ref="AV11">IF(SUMPRODUCT((LEN($D$40:$D$45)&gt;0)*(LEN($E$40:$E$45)&gt;0))=0,"",LARGE($AP$40:$AP$43,3)-5)</f>
        <v>3999023</v>
      </c>
      <c r="AW11" s="36">
        <f t="shared" si="1"/>
        <v>5</v>
      </c>
      <c r="AX11" s="3"/>
      <c r="AY11" s="3"/>
      <c r="AZ11" s="3"/>
    </row>
    <row r="12" spans="1:52" ht="19.95" customHeight="1" x14ac:dyDescent="0.3">
      <c r="A12" s="5"/>
      <c r="B12" s="7" t="s">
        <v>616</v>
      </c>
      <c r="C12" s="7" t="s">
        <v>623</v>
      </c>
      <c r="D12" s="8">
        <v>1</v>
      </c>
      <c r="E12" s="8">
        <v>0</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NETHERLANDS</v>
      </c>
      <c r="V12" s="46"/>
      <c r="W12" s="44"/>
      <c r="X12" s="4"/>
      <c r="Y12" s="4"/>
      <c r="Z12" s="4"/>
      <c r="AA12" s="4"/>
      <c r="AB12" s="4"/>
      <c r="AN12" s="34" t="str">
        <f>B12</f>
        <v>CANADA</v>
      </c>
      <c r="AO12" s="34" cm="1">
        <f t="array" ref="AO12">3*SUMPRODUCT(($B$12:$B$17=AN12)*($D$12:$D$17&gt;$E$12:$E$17))+3*SUMPRODUCT(($C$12:$C$17=AN12)*($E$12:$E$17&gt;$D$12:$D$17))+SUMPRODUCT((($B$12:$B$17=AN12)+($C$12:$C$17=AN12))*($D$12:$D$17=$E$12:$E$17)*(LEN($D$12:$D$17)&gt;0))</f>
        <v>6</v>
      </c>
      <c r="AP12" s="34">
        <f>AO12*1000000+(AQ12-AR12)*1000+AQ12*10-0</f>
        <v>6001040</v>
      </c>
      <c r="AQ12" s="34" cm="1">
        <f t="array" ref="AQ12">SUMPRODUCT(($B$12:$B$17=AN12)*$D$12:$D$17)+SUMPRODUCT(($C$12:$C$17=AN12)*$E$12:$E$17)</f>
        <v>4</v>
      </c>
      <c r="AR12" s="34" cm="1">
        <f t="array" ref="AR12">SUMPRODUCT(($B$12:$B$17=AN12)*$E$12:$E$17)+SUMPRODUCT(($C$12:$C$17=AN12)*$D$12:$D$17)</f>
        <v>3</v>
      </c>
      <c r="AT12" s="36" t="s">
        <v>43</v>
      </c>
      <c r="AU12" s="36" t="str">
        <f t="shared" si="0"/>
        <v>IRAN</v>
      </c>
      <c r="AV12" s="36" cm="1">
        <f t="array" ref="AV12">IF(SUMPRODUCT((LEN($D$47:$D$52)&gt;0)*(LEN($E$47:$E$52)&gt;0))=0,"",LARGE($AP$47:$AP$50,3)-6)</f>
        <v>4000042</v>
      </c>
      <c r="AW12" s="36">
        <f t="shared" si="1"/>
        <v>4</v>
      </c>
      <c r="AX12" s="3"/>
      <c r="AY12" s="3"/>
      <c r="AZ12" s="3"/>
    </row>
    <row r="13" spans="1:52" ht="19.95" customHeight="1" x14ac:dyDescent="0.3">
      <c r="A13" s="5"/>
      <c r="B13" s="7" t="s">
        <v>617</v>
      </c>
      <c r="C13" s="7" t="s">
        <v>618</v>
      </c>
      <c r="D13" s="8">
        <v>0</v>
      </c>
      <c r="E13" s="8">
        <v>3</v>
      </c>
      <c r="F13" s="25" t="s">
        <v>5</v>
      </c>
      <c r="G13" s="10" t="str" cm="1">
        <f t="array" ref="G13">IF(SUMPRODUCT((LEN($D$12:$D$17)&gt;0)*(LEN($E$12:$E$17)&gt;0))=0,"",IFERROR(INDEX($AN$12:$AN$15,MATCH(LARGE($AP$12:$AP$15,2),$AP$12:$AP$15,0)),""))</f>
        <v>CANADA</v>
      </c>
      <c r="H13" s="10" cm="1">
        <f t="array" ref="H13">IF(SUMPRODUCT((LEN($D$12:$D$17)&gt;0)*(LEN($E$12:$E$17)&gt;0))=0,"",IFERROR(INDEX($AO$12:$AO$15,MATCH(LARGE($AP$12:$AP$15,2),$AP$12:$AP$15,0)),""))</f>
        <v>6</v>
      </c>
      <c r="J13" s="11" t="s">
        <v>1</v>
      </c>
      <c r="K13" s="12" t="str">
        <f>_xlfn.XLOOKUP(J13,$F$5:$F$85,$G$5:$G$85, "")</f>
        <v>SOUTH KOREA</v>
      </c>
      <c r="L13" s="45">
        <v>1</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2999019</v>
      </c>
      <c r="AQ13" s="34" cm="1">
        <f t="array" ref="AQ13">SUMPRODUCT(($B$12:$B$17=AN13)*$D$12:$D$17)+SUMPRODUCT(($C$12:$C$17=AN13)*$E$12:$E$17)</f>
        <v>2</v>
      </c>
      <c r="AR13" s="34" cm="1">
        <f t="array" ref="AR13">SUMPRODUCT(($B$12:$B$17=AN13)*$E$12:$E$17)+SUMPRODUCT(($C$12:$C$17=AN13)*$D$12:$D$17)</f>
        <v>3</v>
      </c>
      <c r="AT13" s="36" t="s">
        <v>47</v>
      </c>
      <c r="AU13" s="36" t="str">
        <f t="shared" si="0"/>
        <v>SAUDI ARABIA</v>
      </c>
      <c r="AV13" s="36" cm="1">
        <f t="array" ref="AV13">IF(SUMPRODUCT((LEN($D$54:$D$59)&gt;0)*(LEN($E$54:$E$59)&gt;0))=0,"",LARGE($AP$54:$AP$57,3)-7)</f>
        <v>2996021</v>
      </c>
      <c r="AW13" s="36">
        <f t="shared" si="1"/>
        <v>9</v>
      </c>
      <c r="AX13" s="3"/>
      <c r="AY13" s="3"/>
      <c r="AZ13" s="3"/>
    </row>
    <row r="14" spans="1:52" ht="19.95" customHeight="1" x14ac:dyDescent="0.3">
      <c r="A14" s="5"/>
      <c r="B14" s="7" t="s">
        <v>618</v>
      </c>
      <c r="C14" s="7" t="s">
        <v>623</v>
      </c>
      <c r="D14" s="8">
        <v>2</v>
      </c>
      <c r="E14" s="8">
        <v>0</v>
      </c>
      <c r="F14" s="26" t="s">
        <v>6</v>
      </c>
      <c r="G14" s="17" t="str" cm="1">
        <f t="array" ref="G14">IF(SUMPRODUCT((LEN($D$12:$D$17)&gt;0)*(LEN($E$12:$E$17)&gt;0))=0,"",IFERROR(INDEX($AN$12:$AN$15,MATCH(LARGE($AP$12:$AP$15,3),$AP$12:$AP$15,0)),""))</f>
        <v>BOSNIA H.</v>
      </c>
      <c r="H14" s="17" cm="1">
        <f t="array" ref="H14">IF(SUMPRODUCT((LEN($D$12:$D$17)&gt;0)*(LEN($E$12:$E$17)&gt;0))=0,"",IFERROR(INDEX($AO$12:$AO$15,MATCH(LARGE($AP$12:$AP$15,3),$AP$12:$AP$15,0)),""))</f>
        <v>3</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-5992</v>
      </c>
      <c r="AQ14" s="34" cm="1">
        <f t="array" ref="AQ14">SUMPRODUCT(($B$12:$B$17=AN14)*$D$12:$D$17)+SUMPRODUCT(($C$12:$C$17=AN14)*$E$12:$E$17)</f>
        <v>1</v>
      </c>
      <c r="AR14" s="34" cm="1">
        <f t="array" ref="AR14">SUMPRODUCT(($B$12:$B$17=AN14)*$E$12:$E$17)+SUMPRODUCT(($C$12:$C$17=AN14)*$D$12:$D$17)</f>
        <v>7</v>
      </c>
      <c r="AT14" s="36" t="s">
        <v>51</v>
      </c>
      <c r="AU14" s="36" t="str">
        <f t="shared" si="0"/>
        <v>SENEGAL</v>
      </c>
      <c r="AV14" s="36" cm="1">
        <f t="array" ref="AV14">IF(SUMPRODUCT((LEN($D$61:$D$66)&gt;0)*(LEN($E$61:$E$66)&gt;0))=0,"",LARGE($AP$61:$AP$64,3)-8)</f>
        <v>2998031</v>
      </c>
      <c r="AW14" s="36">
        <f t="shared" si="1"/>
        <v>7</v>
      </c>
      <c r="AX14" s="3"/>
      <c r="AY14" s="3"/>
      <c r="AZ14" s="3"/>
    </row>
    <row r="15" spans="1:52" ht="19.95" customHeight="1" x14ac:dyDescent="0.3">
      <c r="A15" s="5"/>
      <c r="B15" s="7" t="s">
        <v>616</v>
      </c>
      <c r="C15" s="7" t="s">
        <v>617</v>
      </c>
      <c r="D15" s="8">
        <v>2</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SOUTH KOREA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9006067</v>
      </c>
      <c r="AQ15" s="34" cm="1">
        <f t="array" ref="AQ15">SUMPRODUCT(($B$12:$B$17=AN15)*$D$12:$D$17)+SUMPRODUCT(($C$12:$C$17=AN15)*$E$12:$E$17)</f>
        <v>7</v>
      </c>
      <c r="AR15" s="34" cm="1">
        <f t="array" ref="AR15">SUMPRODUCT(($B$12:$B$17=AN15)*$E$12:$E$17)+SUMPRODUCT(($C$12:$C$17=AN15)*$D$12:$D$17)</f>
        <v>1</v>
      </c>
      <c r="AT15" s="36" t="s">
        <v>55</v>
      </c>
      <c r="AU15" s="36" t="str">
        <f t="shared" si="0"/>
        <v>ALGERIA</v>
      </c>
      <c r="AV15" s="36" cm="1">
        <f t="array" ref="AV15">IF(SUMPRODUCT((LEN($D$68:$D$73)&gt;0)*(LEN($E$68:$E$73)&gt;0))=0,"",LARGE($AP$68:$AP$71,3)-9)</f>
        <v>2997020</v>
      </c>
      <c r="AW15" s="36">
        <f t="shared" si="1"/>
        <v>8</v>
      </c>
      <c r="AX15" s="3"/>
      <c r="AY15" s="3"/>
      <c r="AZ15" s="3"/>
    </row>
    <row r="16" spans="1:52" ht="19.95" customHeight="1" x14ac:dyDescent="0.3">
      <c r="A16" s="5"/>
      <c r="B16" s="7" t="s">
        <v>618</v>
      </c>
      <c r="C16" s="7" t="s">
        <v>616</v>
      </c>
      <c r="D16" s="8">
        <v>2</v>
      </c>
      <c r="E16" s="8">
        <v>1</v>
      </c>
      <c r="H16" s="28"/>
      <c r="J16" s="4"/>
      <c r="K16" s="4"/>
      <c r="L16" s="4"/>
      <c r="M16" s="4"/>
      <c r="N16" s="4"/>
      <c r="O16" s="14" t="s">
        <v>68</v>
      </c>
      <c r="P16" s="15" t="str">
        <f>IF(L17="","",IF(L17=1, K17, K18))</f>
        <v>NETHERLANDS</v>
      </c>
      <c r="Q16" s="46"/>
      <c r="R16" s="44"/>
      <c r="S16" s="4"/>
      <c r="T16" s="4"/>
      <c r="U16" s="4"/>
      <c r="V16" s="4"/>
      <c r="W16" s="4"/>
      <c r="X16" s="4"/>
      <c r="Y16" s="4"/>
      <c r="Z16" s="4"/>
      <c r="AA16" s="4"/>
      <c r="AB16" s="4"/>
      <c r="AT16" s="36" t="s">
        <v>59</v>
      </c>
      <c r="AU16" s="36" t="str">
        <f t="shared" si="0"/>
        <v>UZBEKISTAN</v>
      </c>
      <c r="AV16" s="36" cm="1">
        <f t="array" ref="AV16">IF(SUMPRODUCT((LEN($D$75:$D$80)&gt;0)*(LEN($E$75:$E$80)&gt;0))=0,"",LARGE($AP$75:$AP$78,3)-10)</f>
        <v>994008</v>
      </c>
      <c r="AW16" s="36">
        <f t="shared" si="1"/>
        <v>12</v>
      </c>
      <c r="AX16" s="3"/>
      <c r="AY16" s="3"/>
      <c r="AZ16" s="3"/>
    </row>
    <row r="17" spans="1:52" ht="19.95" customHeight="1" x14ac:dyDescent="0.3">
      <c r="A17" s="5"/>
      <c r="B17" s="7" t="s">
        <v>623</v>
      </c>
      <c r="C17" s="7" t="s">
        <v>617</v>
      </c>
      <c r="D17" s="8">
        <v>2</v>
      </c>
      <c r="E17" s="8">
        <v>0</v>
      </c>
      <c r="F17" s="23"/>
      <c r="G17" s="23"/>
      <c r="H17" s="24"/>
      <c r="J17" s="11" t="s">
        <v>20</v>
      </c>
      <c r="K17" s="12" t="str">
        <f>_xlfn.XLOOKUP(J17,$F$5:$F$85,$G$5:$G$85, "")</f>
        <v>NETHERLANDS</v>
      </c>
      <c r="L17" s="45">
        <v>1</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996007</v>
      </c>
      <c r="AW17" s="36">
        <f t="shared" si="1"/>
        <v>11</v>
      </c>
      <c r="AX17" s="3"/>
      <c r="AY17" s="3"/>
      <c r="AZ17" s="3"/>
    </row>
    <row r="18" spans="1:52" ht="19.95" customHeight="1" x14ac:dyDescent="0.3">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19.95" customHeight="1" x14ac:dyDescent="0.3">
      <c r="A19" s="5"/>
      <c r="B19" s="7" t="s">
        <v>619</v>
      </c>
      <c r="C19" s="7" t="s">
        <v>620</v>
      </c>
      <c r="D19" s="8">
        <v>3</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45">
        <v>2</v>
      </c>
      <c r="AB19" s="43" t="s">
        <v>36</v>
      </c>
      <c r="AN19" s="34" t="str">
        <f>B19</f>
        <v>BRAZIL</v>
      </c>
      <c r="AO19" s="34" cm="1">
        <f t="array" ref="AO19">3*SUMPRODUCT(($B$19:$B$24=AN19)*($D$19:$D$24&gt;$E$19:$E$24))+3*SUMPRODUCT(($C$19:$C$24=AN19)*($E$19:$E$24&gt;$D$19:$D$24))+SUMPRODUCT((($B$19:$B$24=AN19)+($C$19:$C$24=AN19))*($D$19:$D$24=$E$19:$E$24)*(LEN($D$19:$D$24)&gt;0))</f>
        <v>9</v>
      </c>
      <c r="AP19" s="34">
        <f>AO19*1000000+(AQ19-AR19)*1000+AQ19*10-0</f>
        <v>9009120</v>
      </c>
      <c r="AQ19" s="34" cm="1">
        <f t="array" ref="AQ19">SUMPRODUCT(($B$19:$B$24=AN19)*$D$19:$D$24)+SUMPRODUCT(($C$19:$C$24=AN19)*$E$19:$E$24)</f>
        <v>12</v>
      </c>
      <c r="AR19" s="34" cm="1">
        <f t="array" ref="AR19">SUMPRODUCT(($B$19:$B$24=AN19)*$E$19:$E$24)+SUMPRODUCT(($C$19:$C$24=AN19)*$D$19:$D$24)</f>
        <v>3</v>
      </c>
      <c r="AT19" s="34" t="s">
        <v>591</v>
      </c>
      <c r="AW19" s="35"/>
      <c r="AX19" s="3"/>
      <c r="AY19" s="3"/>
      <c r="AZ19" s="3"/>
    </row>
    <row r="20" spans="1:52" ht="19.95" customHeight="1" x14ac:dyDescent="0.3">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4</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4</v>
      </c>
      <c r="AP20" s="34">
        <f>AO20*1000000+(AQ20-AR20)*1000+AQ20*10-1</f>
        <v>4002069</v>
      </c>
      <c r="AQ20" s="34" cm="1">
        <f t="array" ref="AQ20">SUMPRODUCT(($B$19:$B$24=AN20)*$D$19:$D$24)+SUMPRODUCT(($C$19:$C$24=AN20)*$E$19:$E$24)</f>
        <v>7</v>
      </c>
      <c r="AR20" s="34" cm="1">
        <f t="array" ref="AR20">SUMPRODUCT(($B$19:$B$24=AN20)*$E$19:$E$24)+SUMPRODUCT(($C$19:$C$24=AN20)*$D$19:$D$24)</f>
        <v>5</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ABCEFGIJ</v>
      </c>
      <c r="AW20" s="35"/>
      <c r="AX20" s="3"/>
      <c r="AY20" s="3"/>
      <c r="AZ20" s="3"/>
    </row>
    <row r="21" spans="1:52" ht="19.95" customHeight="1" x14ac:dyDescent="0.3">
      <c r="A21" s="5"/>
      <c r="B21" s="7" t="s">
        <v>622</v>
      </c>
      <c r="C21" s="7" t="s">
        <v>620</v>
      </c>
      <c r="D21" s="8">
        <v>2</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4</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-10992</v>
      </c>
      <c r="AQ21" s="34" cm="1">
        <f t="array" ref="AQ21">SUMPRODUCT(($B$19:$B$24=AN21)*$D$19:$D$24)+SUMPRODUCT(($C$19:$C$24=AN21)*$E$19:$E$24)</f>
        <v>1</v>
      </c>
      <c r="AR21" s="34" cm="1">
        <f t="array" ref="AR21">SUMPRODUCT(($B$19:$B$24=AN21)*$E$19:$E$24)+SUMPRODUCT(($C$19:$C$24=AN21)*$D$19:$D$24)</f>
        <v>12</v>
      </c>
      <c r="AW21" s="35"/>
      <c r="AX21" s="3"/>
      <c r="AY21" s="3"/>
      <c r="AZ21" s="3"/>
    </row>
    <row r="22" spans="1:52" ht="19.95" customHeight="1" x14ac:dyDescent="0.3">
      <c r="A22" s="5"/>
      <c r="B22" s="7" t="s">
        <v>619</v>
      </c>
      <c r="C22" s="7" t="s">
        <v>621</v>
      </c>
      <c r="D22" s="8">
        <v>6</v>
      </c>
      <c r="E22" s="8">
        <v>1</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4</v>
      </c>
      <c r="AP22" s="34">
        <f>AO22*1000000+(AQ22-AR22)*1000+AQ22*10-3</f>
        <v>4000047</v>
      </c>
      <c r="AQ22" s="34" cm="1">
        <f t="array" ref="AQ22">SUMPRODUCT(($B$19:$B$24=AN22)*$D$19:$D$24)+SUMPRODUCT(($C$19:$C$24=AN22)*$E$19:$E$24)</f>
        <v>5</v>
      </c>
      <c r="AR22" s="34" cm="1">
        <f t="array" ref="AR22">SUMPRODUCT(($B$19:$B$24=AN22)*$E$19:$E$24)+SUMPRODUCT(($C$19:$C$24=AN22)*$D$19:$D$24)</f>
        <v>5</v>
      </c>
      <c r="AT22" s="34" t="s">
        <v>85</v>
      </c>
      <c r="AU22" s="34" t="s">
        <v>610</v>
      </c>
      <c r="AW22" s="35"/>
      <c r="AX22" s="3"/>
      <c r="AY22" s="3"/>
      <c r="AZ22" s="3"/>
    </row>
    <row r="23" spans="1:52" ht="19.95" customHeight="1" x14ac:dyDescent="0.3">
      <c r="A23" s="5"/>
      <c r="B23" s="7" t="s">
        <v>622</v>
      </c>
      <c r="C23" s="7" t="s">
        <v>619</v>
      </c>
      <c r="D23" s="8">
        <v>1</v>
      </c>
      <c r="E23" s="8">
        <v>3</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19.95" customHeight="1" x14ac:dyDescent="0.3">
      <c r="A24" s="5"/>
      <c r="B24" s="7" t="s">
        <v>620</v>
      </c>
      <c r="C24" s="7" t="s">
        <v>621</v>
      </c>
      <c r="D24" s="8">
        <v>4</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19.95" customHeight="1" x14ac:dyDescent="0.3">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19.95" customHeight="1" x14ac:dyDescent="0.3">
      <c r="A26" s="5"/>
      <c r="B26" s="7" t="s">
        <v>628</v>
      </c>
      <c r="C26" s="7" t="s">
        <v>631</v>
      </c>
      <c r="D26" s="38">
        <v>2</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9</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6</v>
      </c>
      <c r="AP26" s="34">
        <f>AO26*1000000+(AQ26-AR26)*1000+AQ26*10-0</f>
        <v>6002050</v>
      </c>
      <c r="AQ26" s="34" cm="1">
        <f t="array" ref="AQ26">SUMPRODUCT(($B$26:$B$31=AN26)*$D$26:$D$31)+SUMPRODUCT(($C$26:$C$31=AN26)*$E$26:$E$31)</f>
        <v>5</v>
      </c>
      <c r="AR26" s="34" cm="1">
        <f t="array" ref="AR26">SUMPRODUCT(($B$26:$B$31=AN26)*$E$26:$E$31)+SUMPRODUCT(($C$26:$C$31=AN26)*$D$26:$D$31)</f>
        <v>3</v>
      </c>
      <c r="AT26" s="34" t="s">
        <v>16</v>
      </c>
      <c r="AU26" s="34" t="str">
        <f>IF($AT$20="","",IFERROR(VLOOKUP($AT$20,Terze!$B$2:$J$496,5,FALSE),""))</f>
        <v>3C</v>
      </c>
      <c r="AW26" s="35"/>
      <c r="AX26" s="3"/>
      <c r="AY26" s="3"/>
      <c r="AZ26" s="3"/>
    </row>
    <row r="27" spans="1:52" ht="19.95" customHeight="1" x14ac:dyDescent="0.3">
      <c r="A27" s="5"/>
      <c r="B27" s="7" t="s">
        <v>629</v>
      </c>
      <c r="C27" s="7" t="s">
        <v>630</v>
      </c>
      <c r="D27" s="40">
        <v>0</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6</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1</v>
      </c>
      <c r="AP27" s="34">
        <f>AO27*1000000+(AQ27-AR27)*1000+AQ27*10-1</f>
        <v>997029</v>
      </c>
      <c r="AQ27" s="34" cm="1">
        <f t="array" ref="AQ27">SUMPRODUCT(($B$26:$B$31=AN27)*$D$26:$D$31)+SUMPRODUCT(($C$26:$C$31=AN27)*$E$26:$E$31)</f>
        <v>3</v>
      </c>
      <c r="AR27" s="34" cm="1">
        <f t="array" ref="AR27">SUMPRODUCT(($B$26:$B$31=AN27)*$E$26:$E$31)+SUMPRODUCT(($C$26:$C$31=AN27)*$D$26:$D$31)</f>
        <v>6</v>
      </c>
      <c r="AT27" s="34" t="s">
        <v>41</v>
      </c>
      <c r="AU27" s="34" t="str">
        <f>IF($AT$20="","",IFERROR(VLOOKUP($AT$20,Terze!$B$2:$J$496,6,FALSE),""))</f>
        <v>3A</v>
      </c>
      <c r="AW27" s="35"/>
      <c r="AX27" s="3"/>
      <c r="AY27" s="3"/>
      <c r="AZ27" s="3"/>
    </row>
    <row r="28" spans="1:52" ht="19.95" customHeight="1" x14ac:dyDescent="0.3">
      <c r="A28" s="5"/>
      <c r="B28" s="7" t="s">
        <v>628</v>
      </c>
      <c r="C28" s="7" t="s">
        <v>629</v>
      </c>
      <c r="D28" s="40">
        <v>2</v>
      </c>
      <c r="E28" s="41">
        <v>0</v>
      </c>
      <c r="F28" s="26" t="s">
        <v>14</v>
      </c>
      <c r="G28" s="17" t="str" cm="1">
        <f t="array" ref="G28">IF(SUMPRODUCT((LEN($D$26:$D$31)&gt;0)*(LEN($E$26:$E$31)&gt;0))=0,"",IFERROR(INDEX($AN$26:$AN$29,MATCH(LARGE($AP$26:$AP$29,3),$AP$26:$AP$29,0)),""))</f>
        <v>PARAGUAY</v>
      </c>
      <c r="H28" s="17" cm="1">
        <f t="array" ref="H28">IF(SUMPRODUCT((LEN($D$26:$D$31)&gt;0)*(LEN($E$26:$E$31)&gt;0))=0,"",IFERROR(INDEX($AO$26:$AO$29,MATCH(LARGE($AP$26:$AP$29,3),$AP$26:$AP$29,0)),""))</f>
        <v>1</v>
      </c>
      <c r="J28" s="4"/>
      <c r="K28" s="4"/>
      <c r="L28" s="4"/>
      <c r="M28" s="4"/>
      <c r="N28" s="4"/>
      <c r="O28" s="4"/>
      <c r="P28" s="4"/>
      <c r="Q28" s="4"/>
      <c r="R28" s="4"/>
      <c r="S28" s="4"/>
      <c r="T28" s="14" t="s">
        <v>27</v>
      </c>
      <c r="U28" s="15" t="str">
        <f>IF(Q31="","",IF(Q31=1, P31, P32))</f>
        <v>TURKEY</v>
      </c>
      <c r="V28" s="46"/>
      <c r="W28" s="44"/>
      <c r="X28" s="4"/>
      <c r="Y28" s="4"/>
      <c r="Z28" s="4"/>
      <c r="AA28" s="4"/>
      <c r="AB28" s="4"/>
      <c r="AN28" s="34" t="str">
        <f>B27</f>
        <v>AUSTRALIA</v>
      </c>
      <c r="AO28" s="34" cm="1">
        <f t="array" ref="AO28">3*SUMPRODUCT(($B$26:$B$31=AN28)*($D$26:$D$31&gt;$E$26:$E$31))+3*SUMPRODUCT(($C$26:$C$31=AN28)*($E$26:$E$31&gt;$D$26:$D$31))+SUMPRODUCT((($B$26:$B$31=AN28)+($C$26:$C$31=AN28))*($D$26:$D$31=$E$26:$E$31)*(LEN($D$26:$D$31)&gt;0))</f>
        <v>1</v>
      </c>
      <c r="AP28" s="34">
        <f>AO28*1000000+(AQ28-AR28)*1000+AQ28*10-2</f>
        <v>996008</v>
      </c>
      <c r="AQ28" s="34" cm="1">
        <f t="array" ref="AQ28">SUMPRODUCT(($B$26:$B$31=AN28)*$D$26:$D$31)+SUMPRODUCT(($C$26:$C$31=AN28)*$E$26:$E$31)</f>
        <v>1</v>
      </c>
      <c r="AR28" s="34" cm="1">
        <f t="array" ref="AR28">SUMPRODUCT(($B$26:$B$31=AN28)*$E$26:$E$31)+SUMPRODUCT(($C$26:$C$31=AN28)*$D$26:$D$31)</f>
        <v>5</v>
      </c>
      <c r="AT28" s="34" t="s">
        <v>49</v>
      </c>
      <c r="AU28" s="34" t="str">
        <f>IF($AT$20="","",IFERROR(VLOOKUP($AT$20,Terze!$B$2:$J$496,7,FALSE),""))</f>
        <v>3F</v>
      </c>
      <c r="AW28" s="35"/>
      <c r="AX28" s="3"/>
      <c r="AY28" s="3"/>
      <c r="AZ28" s="3"/>
    </row>
    <row r="29" spans="1:52" ht="19.95" customHeight="1" x14ac:dyDescent="0.3">
      <c r="A29" s="5"/>
      <c r="B29" s="7" t="s">
        <v>630</v>
      </c>
      <c r="C29" s="7" t="s">
        <v>631</v>
      </c>
      <c r="D29" s="40">
        <v>3</v>
      </c>
      <c r="E29" s="41">
        <v>1</v>
      </c>
      <c r="F29" s="27" t="s">
        <v>15</v>
      </c>
      <c r="G29" s="7" t="str" cm="1">
        <f t="array" ref="G29">IF(SUMPRODUCT((LEN($D$26:$D$31)&gt;0)*(LEN($E$26:$E$31)&gt;0))=0,"",IFERROR(INDEX($AN$26:$AN$29,MATCH(LARGE($AP$26:$AP$29,4),$AP$26:$AP$29,0)),""))</f>
        <v>AUSTRALIA</v>
      </c>
      <c r="H29" s="7" cm="1">
        <f t="array" ref="H29">IF(SUMPRODUCT((LEN($D$26:$D$31)&gt;0)*(LEN($E$26:$E$31)&gt;0))=0,"",IFERROR(INDEX($AO$26:$AO$29,MATCH(LARGE($AP$26:$AP$29,4),$AP$26:$AP$29,0)),""))</f>
        <v>1</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9</v>
      </c>
      <c r="AP29" s="34">
        <f>AO29*1000000+(AQ29-AR29)*1000+AQ29*10-3</f>
        <v>9005067</v>
      </c>
      <c r="AQ29" s="34" cm="1">
        <f t="array" ref="AQ29">SUMPRODUCT(($B$26:$B$31=AN29)*$D$26:$D$31)+SUMPRODUCT(($C$26:$C$31=AN29)*$E$26:$E$31)</f>
        <v>7</v>
      </c>
      <c r="AR29" s="34" cm="1">
        <f t="array" ref="AR29">SUMPRODUCT(($B$26:$B$31=AN29)*$E$26:$E$31)+SUMPRODUCT(($C$26:$C$31=AN29)*$D$26:$D$31)</f>
        <v>2</v>
      </c>
      <c r="AT29" s="34" t="s">
        <v>57</v>
      </c>
      <c r="AU29" s="34" t="str">
        <f>IF($AT$20="","",IFERROR(VLOOKUP($AT$20,Terze!$B$2:$J$496,8,FALSE),""))</f>
        <v>3I</v>
      </c>
      <c r="AW29" s="35"/>
      <c r="AX29" s="3"/>
      <c r="AY29" s="3"/>
      <c r="AZ29" s="3"/>
    </row>
    <row r="30" spans="1:52" ht="19.95" customHeight="1" x14ac:dyDescent="0.3">
      <c r="A30" s="5"/>
      <c r="B30" s="7" t="s">
        <v>630</v>
      </c>
      <c r="C30" s="7" t="s">
        <v>628</v>
      </c>
      <c r="D30" s="40">
        <v>2</v>
      </c>
      <c r="E30" s="41">
        <v>1</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3J</v>
      </c>
      <c r="AW30" s="35"/>
      <c r="AX30" s="3"/>
      <c r="AY30" s="3"/>
      <c r="AZ30" s="3"/>
    </row>
    <row r="31" spans="1:52" ht="19.95" customHeight="1" x14ac:dyDescent="0.3">
      <c r="A31" s="5"/>
      <c r="B31" s="7" t="s">
        <v>631</v>
      </c>
      <c r="C31" s="7" t="s">
        <v>629</v>
      </c>
      <c r="D31" s="40">
        <v>1</v>
      </c>
      <c r="E31" s="41">
        <v>1</v>
      </c>
      <c r="F31" s="23"/>
      <c r="G31" s="23"/>
      <c r="H31" s="24"/>
      <c r="J31" s="4"/>
      <c r="K31" s="4"/>
      <c r="L31" s="4"/>
      <c r="M31" s="4"/>
      <c r="N31" s="4"/>
      <c r="O31" s="11" t="s">
        <v>71</v>
      </c>
      <c r="P31" s="12" t="str">
        <f>IF(L29="","",IF(L29=1, K29, K30))</f>
        <v>TURKEY</v>
      </c>
      <c r="Q31" s="45">
        <v>1</v>
      </c>
      <c r="R31" s="43" t="s">
        <v>27</v>
      </c>
      <c r="S31" s="4"/>
      <c r="T31" s="4"/>
      <c r="U31" s="4"/>
      <c r="V31" s="4"/>
      <c r="W31" s="4"/>
      <c r="X31" s="4"/>
      <c r="Y31" s="4"/>
      <c r="Z31" s="4"/>
      <c r="AA31" s="4"/>
      <c r="AB31" s="4"/>
      <c r="AW31" s="35"/>
      <c r="AX31" s="3"/>
      <c r="AY31" s="3"/>
      <c r="AZ31" s="3"/>
    </row>
    <row r="32" spans="1:52" ht="19.95" customHeight="1" x14ac:dyDescent="0.3">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19.95" customHeight="1" x14ac:dyDescent="0.3">
      <c r="A33" s="5"/>
      <c r="B33" s="7" t="s">
        <v>624</v>
      </c>
      <c r="C33" s="7" t="s">
        <v>625</v>
      </c>
      <c r="D33" s="38">
        <v>6</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9010120</v>
      </c>
      <c r="AQ33" s="34" cm="1">
        <f t="array" ref="AQ33">SUMPRODUCT(($B$33:$B$38=AN33)*$D$33:$D$38)+SUMPRODUCT(($C$33:$C$38=AN33)*$E$33:$E$38)</f>
        <v>12</v>
      </c>
      <c r="AR33" s="34" cm="1">
        <f t="array" ref="AR33">SUMPRODUCT(($B$33:$B$38=AN33)*$E$33:$E$38)+SUMPRODUCT(($C$33:$C$38=AN33)*$D$33:$D$38)</f>
        <v>2</v>
      </c>
      <c r="AW33" s="35"/>
      <c r="AX33" s="3"/>
      <c r="AY33" s="3"/>
      <c r="AZ33" s="3"/>
    </row>
    <row r="34" spans="1:52" ht="19.95" customHeight="1" x14ac:dyDescent="0.3">
      <c r="A34" s="5"/>
      <c r="B34" s="7" t="s">
        <v>626</v>
      </c>
      <c r="C34" s="7" t="s">
        <v>627</v>
      </c>
      <c r="D34" s="40">
        <v>2</v>
      </c>
      <c r="E34" s="41">
        <v>2</v>
      </c>
      <c r="F34" s="25" t="s">
        <v>17</v>
      </c>
      <c r="G34" s="10" t="str" cm="1">
        <f t="array" ref="G34">IF(SUMPRODUCT((LEN($D$33:$D$38)&gt;0)*(LEN($E$33:$E$38)&gt;0))=0,"",IFERROR(INDEX($AN$33:$AN$36,MATCH(LARGE($AP$33:$AP$36,2),$AP$33:$AP$36,0)),""))</f>
        <v>ECUADOR</v>
      </c>
      <c r="H34" s="10" cm="1">
        <f t="array" ref="H34">IF(SUMPRODUCT((LEN($D$33:$D$38)&gt;0)*(LEN($E$33:$E$38)&gt;0))=0,"",IFERROR(INDEX($AO$33:$AO$36,MATCH(LARGE($AP$33:$AP$36,2),$AP$33:$AP$36,0)),""))</f>
        <v>4</v>
      </c>
      <c r="J34" s="14" t="str">
        <f>AU27</f>
        <v>3A</v>
      </c>
      <c r="K34" s="15" t="str">
        <f>_xlfn.XLOOKUP(J34,$F$5:$F$85,$G$5:$G$85, "")</f>
        <v>CZECHIA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-10981</v>
      </c>
      <c r="AQ34" s="34" cm="1">
        <f t="array" ref="AQ34">SUMPRODUCT(($B$33:$B$38=AN34)*$D$33:$D$38)+SUMPRODUCT(($C$33:$C$38=AN34)*$E$33:$E$38)</f>
        <v>2</v>
      </c>
      <c r="AR34" s="34" cm="1">
        <f t="array" ref="AR34">SUMPRODUCT(($B$33:$B$38=AN34)*$E$33:$E$38)+SUMPRODUCT(($C$33:$C$38=AN34)*$D$33:$D$38)</f>
        <v>13</v>
      </c>
      <c r="AW34" s="35"/>
      <c r="AX34" s="3"/>
      <c r="AY34" s="3"/>
      <c r="AZ34" s="3"/>
    </row>
    <row r="35" spans="1:52" ht="19.95" customHeight="1" x14ac:dyDescent="0.3">
      <c r="A35" s="5"/>
      <c r="B35" s="7" t="s">
        <v>624</v>
      </c>
      <c r="C35" s="7" t="s">
        <v>626</v>
      </c>
      <c r="D35" s="40">
        <v>3</v>
      </c>
      <c r="E35" s="41">
        <v>1</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1</v>
      </c>
      <c r="AG35" s="43" t="s">
        <v>38</v>
      </c>
      <c r="AI35" s="29" t="s">
        <v>39</v>
      </c>
      <c r="AJ35" s="63" t="str">
        <f>IF(AF35="","",IF(AF35=1, AE35, AE36))</f>
        <v>SPAIN</v>
      </c>
      <c r="AK35" s="63"/>
      <c r="AL35" s="63"/>
      <c r="AN35" s="34" t="str">
        <f>B34</f>
        <v>IVORY COAST</v>
      </c>
      <c r="AO35" s="34" cm="1">
        <f t="array" ref="AO35">3*SUMPRODUCT(($B$33:$B$38=AN35)*($D$33:$D$38&gt;$E$33:$E$38))+3*SUMPRODUCT(($C$33:$C$38=AN35)*($E$33:$E$38&gt;$D$33:$D$38))+SUMPRODUCT((($B$33:$B$38=AN35)+($C$33:$C$38=AN35))*($D$33:$D$38=$E$33:$E$38)*(LEN($D$33:$D$38)&gt;0))</f>
        <v>4</v>
      </c>
      <c r="AP35" s="34">
        <f>AO35*1000000+(AQ35-AR35)*1000+AQ35*10-2</f>
        <v>4000058</v>
      </c>
      <c r="AQ35" s="34" cm="1">
        <f t="array" ref="AQ35">SUMPRODUCT(($B$33:$B$38=AN35)*$D$33:$D$38)+SUMPRODUCT(($C$33:$C$38=AN35)*$E$33:$E$38)</f>
        <v>6</v>
      </c>
      <c r="AR35" s="34" cm="1">
        <f t="array" ref="AR35">SUMPRODUCT(($B$33:$B$38=AN35)*$E$33:$E$38)+SUMPRODUCT(($C$33:$C$38=AN35)*$D$33:$D$38)</f>
        <v>6</v>
      </c>
      <c r="AW35" s="35"/>
      <c r="AX35" s="3"/>
      <c r="AY35" s="3"/>
      <c r="AZ35" s="3"/>
    </row>
    <row r="36" spans="1:52" ht="19.95" customHeight="1" x14ac:dyDescent="0.3">
      <c r="A36" s="5"/>
      <c r="B36" s="7" t="s">
        <v>627</v>
      </c>
      <c r="C36" s="7" t="s">
        <v>625</v>
      </c>
      <c r="D36" s="40">
        <v>4</v>
      </c>
      <c r="E36" s="41">
        <v>1</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BRAZIL</v>
      </c>
      <c r="AF36" s="46"/>
      <c r="AG36" s="44"/>
      <c r="AI36" s="29" t="s">
        <v>40</v>
      </c>
      <c r="AJ36" s="63" t="str">
        <f>IF(AF35="","",IF(AF35=2, AE35, AE36))</f>
        <v>BRAZIL</v>
      </c>
      <c r="AK36" s="63"/>
      <c r="AL36" s="63"/>
      <c r="AN36" s="34" t="str">
        <f>C34</f>
        <v>ECUADOR</v>
      </c>
      <c r="AO36" s="34" cm="1">
        <f t="array" ref="AO36">3*SUMPRODUCT(($B$33:$B$38=AN36)*($D$33:$D$38&gt;$E$33:$E$38))+3*SUMPRODUCT(($C$33:$C$38=AN36)*($E$33:$E$38&gt;$D$33:$D$38))+SUMPRODUCT((($B$33:$B$38=AN36)+($C$33:$C$38=AN36))*($D$33:$D$38=$E$33:$E$38)*(LEN($D$33:$D$38)&gt;0))</f>
        <v>4</v>
      </c>
      <c r="AP36" s="34">
        <f>AO36*1000000+(AQ36-AR36)*1000+AQ36*10-3</f>
        <v>4001067</v>
      </c>
      <c r="AQ36" s="34" cm="1">
        <f t="array" ref="AQ36">SUMPRODUCT(($B$33:$B$38=AN36)*$D$33:$D$38)+SUMPRODUCT(($C$33:$C$38=AN36)*$E$33:$E$38)</f>
        <v>7</v>
      </c>
      <c r="AR36" s="34" cm="1">
        <f t="array" ref="AR36">SUMPRODUCT(($B$33:$B$38=AN36)*$E$33:$E$38)+SUMPRODUCT(($C$33:$C$38=AN36)*$D$33:$D$38)</f>
        <v>6</v>
      </c>
      <c r="AW36" s="35"/>
      <c r="AX36" s="3"/>
      <c r="AY36" s="3"/>
      <c r="AZ36" s="3"/>
    </row>
    <row r="37" spans="1:52" ht="19.95" customHeight="1" x14ac:dyDescent="0.3">
      <c r="A37" s="5"/>
      <c r="B37" s="7" t="s">
        <v>625</v>
      </c>
      <c r="C37" s="7" t="s">
        <v>626</v>
      </c>
      <c r="D37" s="40">
        <v>1</v>
      </c>
      <c r="E37" s="41">
        <v>3</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FRANCE</v>
      </c>
      <c r="AK37" s="63"/>
      <c r="AL37" s="63"/>
      <c r="AW37" s="35"/>
      <c r="AX37" s="3"/>
      <c r="AY37" s="3"/>
      <c r="AZ37" s="3"/>
    </row>
    <row r="38" spans="1:52" ht="19.95" customHeight="1" x14ac:dyDescent="0.3">
      <c r="A38" s="5"/>
      <c r="B38" s="7" t="s">
        <v>627</v>
      </c>
      <c r="C38" s="7" t="s">
        <v>624</v>
      </c>
      <c r="D38" s="40">
        <v>1</v>
      </c>
      <c r="E38" s="41">
        <v>3</v>
      </c>
      <c r="F38" s="23"/>
      <c r="G38" s="23"/>
      <c r="H38" s="24"/>
      <c r="J38" s="14" t="s">
        <v>21</v>
      </c>
      <c r="K38" s="15" t="str">
        <f>_xlfn.XLOOKUP(J38,$F$5:$F$85,$G$5:$G$85, "")</f>
        <v>JAPAN</v>
      </c>
      <c r="L38" s="46"/>
      <c r="M38" s="44"/>
      <c r="N38" s="4"/>
      <c r="O38" s="4"/>
      <c r="P38" s="4"/>
      <c r="Q38" s="4"/>
      <c r="R38" s="4"/>
      <c r="S38" s="4"/>
      <c r="T38" s="4"/>
      <c r="U38" s="4"/>
      <c r="V38" s="4"/>
      <c r="W38" s="4"/>
      <c r="X38" s="4"/>
      <c r="Y38" s="4"/>
      <c r="Z38" s="4"/>
      <c r="AA38" s="4"/>
      <c r="AB38" s="4"/>
      <c r="AI38" s="29" t="s">
        <v>660</v>
      </c>
      <c r="AJ38" s="63" t="str">
        <f>IF(AF43="","",IF(AF43=2, AE43, AE44))</f>
        <v>ARGENTINA</v>
      </c>
      <c r="AK38" s="63"/>
      <c r="AL38" s="63"/>
      <c r="AW38" s="35"/>
      <c r="AX38" s="3"/>
      <c r="AY38" s="3"/>
      <c r="AZ38" s="3"/>
    </row>
    <row r="39" spans="1:52" ht="19.95" customHeight="1" x14ac:dyDescent="0.3">
      <c r="B39" s="53" t="s">
        <v>603</v>
      </c>
      <c r="C39" s="54"/>
      <c r="D39" s="54"/>
      <c r="E39" s="54"/>
      <c r="F39" s="54"/>
      <c r="G39" s="54"/>
      <c r="H39" s="55"/>
      <c r="J39" s="4"/>
      <c r="K39" s="4"/>
      <c r="L39" s="4"/>
      <c r="M39" s="4"/>
      <c r="N39" s="4"/>
      <c r="O39" s="11" t="s">
        <v>73</v>
      </c>
      <c r="P39" s="12" t="str">
        <f>IF(L37="","",IF(L37=1, K37, K38))</f>
        <v>BRAZIL</v>
      </c>
      <c r="Q39" s="45">
        <v>1</v>
      </c>
      <c r="R39" s="43" t="s">
        <v>28</v>
      </c>
      <c r="S39" s="4"/>
      <c r="T39" s="4"/>
      <c r="U39" s="4"/>
      <c r="V39" s="4"/>
      <c r="W39" s="4"/>
      <c r="X39" s="4"/>
      <c r="Y39" s="4"/>
      <c r="Z39" s="4"/>
      <c r="AA39" s="4"/>
      <c r="AB39" s="4"/>
      <c r="AW39" s="35"/>
      <c r="AX39" s="3"/>
      <c r="AY39" s="3"/>
      <c r="AZ39" s="3"/>
    </row>
    <row r="40" spans="1:52" ht="19.95" customHeight="1" x14ac:dyDescent="0.3">
      <c r="A40" s="5"/>
      <c r="B40" s="7" t="s">
        <v>632</v>
      </c>
      <c r="C40" s="7" t="s">
        <v>635</v>
      </c>
      <c r="D40" s="38">
        <v>2</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9</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9</v>
      </c>
      <c r="AP40" s="34">
        <f>AO40*1000000+(AQ40-AR40)*1000+AQ40*10-0</f>
        <v>9006070</v>
      </c>
      <c r="AQ40" s="34" cm="1">
        <f t="array" ref="AQ40">SUMPRODUCT(($B$40:$B$45=AN40)*$D$40:$D$45)+SUMPRODUCT(($C$40:$C$45=AN40)*$E$40:$E$45)</f>
        <v>7</v>
      </c>
      <c r="AR40" s="34" cm="1">
        <f t="array" ref="AR40">SUMPRODUCT(($B$40:$B$45=AN40)*$E$40:$E$45)+SUMPRODUCT(($C$40:$C$45=AN40)*$D$40:$D$45)</f>
        <v>1</v>
      </c>
      <c r="AW40" s="35"/>
      <c r="AX40" s="3"/>
      <c r="AY40" s="3"/>
      <c r="AZ40" s="3"/>
    </row>
    <row r="41" spans="1:52" ht="19.95" customHeight="1" x14ac:dyDescent="0.3">
      <c r="A41" s="5"/>
      <c r="B41" s="7" t="s">
        <v>633</v>
      </c>
      <c r="C41" s="7" t="s">
        <v>634</v>
      </c>
      <c r="D41" s="40">
        <v>2</v>
      </c>
      <c r="E41" s="41">
        <v>1</v>
      </c>
      <c r="F41" s="25" t="s">
        <v>21</v>
      </c>
      <c r="G41" s="10" t="str" cm="1">
        <f t="array" ref="G41">IF(SUMPRODUCT((LEN($D$40:$D$45)&gt;0)*(LEN($E$40:$E$45)&gt;0))=0,"",IFERROR(INDEX($AN$40:$AN$43,MATCH(LARGE($AP$40:$AP$43,2),$AP$40:$AP$43,0)),""))</f>
        <v>JAPAN</v>
      </c>
      <c r="H41" s="10" cm="1">
        <f t="array" ref="H41">IF(SUMPRODUCT((LEN($D$40:$D$45)&gt;0)*(LEN($E$40:$E$45)&gt;0))=0,"",IFERROR(INDEX($AO$40:$AO$43,MATCH(LARGE($AP$40:$AP$43,2),$AP$40:$AP$43,0)),""))</f>
        <v>4</v>
      </c>
      <c r="J41" s="11" t="s">
        <v>17</v>
      </c>
      <c r="K41" s="12" t="str">
        <f>_xlfn.XLOOKUP(J41,$F$5:$F$85,$G$5:$G$85, "")</f>
        <v>ECUADOR</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4</v>
      </c>
      <c r="AP41" s="34">
        <f>AO41*1000000+(AQ41-AR41)*1000+AQ41*10-1</f>
        <v>4001049</v>
      </c>
      <c r="AQ41" s="34" cm="1">
        <f t="array" ref="AQ41">SUMPRODUCT(($B$40:$B$45=AN41)*$D$40:$D$45)+SUMPRODUCT(($C$40:$C$45=AN41)*$E$40:$E$45)</f>
        <v>5</v>
      </c>
      <c r="AR41" s="34" cm="1">
        <f t="array" ref="AR41">SUMPRODUCT(($B$40:$B$45=AN41)*$E$40:$E$45)+SUMPRODUCT(($C$40:$C$45=AN41)*$D$40:$D$45)</f>
        <v>4</v>
      </c>
      <c r="AW41" s="35"/>
      <c r="AX41" s="3"/>
      <c r="AY41" s="3"/>
      <c r="AZ41" s="3"/>
    </row>
    <row r="42" spans="1:52" ht="19.95" customHeight="1" x14ac:dyDescent="0.3">
      <c r="A42" s="5"/>
      <c r="B42" s="7" t="s">
        <v>632</v>
      </c>
      <c r="C42" s="7" t="s">
        <v>633</v>
      </c>
      <c r="D42" s="40">
        <v>2</v>
      </c>
      <c r="E42" s="41">
        <v>0</v>
      </c>
      <c r="F42" s="26" t="s">
        <v>22</v>
      </c>
      <c r="G42" s="17" t="str" cm="1">
        <f t="array" ref="G42">IF(SUMPRODUCT((LEN($D$40:$D$45)&gt;0)*(LEN($E$40:$E$45)&gt;0))=0,"",IFERROR(INDEX($AN$40:$AN$43,MATCH(LARGE($AP$40:$AP$43,3),$AP$40:$AP$43,0)),""))</f>
        <v>SWEDEN</v>
      </c>
      <c r="H42" s="17" cm="1">
        <f t="array" ref="H42">IF(SUMPRODUCT((LEN($D$40:$D$45)&gt;0)*(LEN($E$40:$E$45)&gt;0))=0,"",IFERROR(INDEX($AO$40:$AO$43,MATCH(LARGE($AP$40:$AP$43,3),$AP$40:$AP$43,0)),""))</f>
        <v>4</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4</v>
      </c>
      <c r="AP42" s="34">
        <f>AO42*1000000+(AQ42-AR42)*1000+AQ42*10-2</f>
        <v>3999028</v>
      </c>
      <c r="AQ42" s="34" cm="1">
        <f t="array" ref="AQ42">SUMPRODUCT(($B$40:$B$45=AN42)*$D$40:$D$45)+SUMPRODUCT(($C$40:$C$45=AN42)*$E$40:$E$45)</f>
        <v>3</v>
      </c>
      <c r="AR42" s="34" cm="1">
        <f t="array" ref="AR42">SUMPRODUCT(($B$40:$B$45=AN42)*$E$40:$E$45)+SUMPRODUCT(($C$40:$C$45=AN42)*$D$40:$D$45)</f>
        <v>4</v>
      </c>
      <c r="AW42" s="35"/>
      <c r="AX42" s="3"/>
      <c r="AY42" s="3"/>
      <c r="AZ42" s="3"/>
    </row>
    <row r="43" spans="1:52" ht="19.95" customHeight="1" x14ac:dyDescent="0.3">
      <c r="A43" s="5"/>
      <c r="B43" s="7" t="s">
        <v>634</v>
      </c>
      <c r="C43" s="7" t="s">
        <v>635</v>
      </c>
      <c r="D43" s="40">
        <v>1</v>
      </c>
      <c r="E43" s="41">
        <v>3</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45">
        <v>1</v>
      </c>
      <c r="W43" s="43" t="s">
        <v>34</v>
      </c>
      <c r="X43" s="4"/>
      <c r="Y43" s="4"/>
      <c r="Z43" s="4"/>
      <c r="AA43" s="4"/>
      <c r="AB43" s="4"/>
      <c r="AD43" s="11" t="s">
        <v>81</v>
      </c>
      <c r="AE43" s="12" t="str">
        <f>IF(AA19="","",IF(AA19=1, Z20, Z19))</f>
        <v>FRANCE</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-5983</v>
      </c>
      <c r="AQ43" s="34" cm="1">
        <f t="array" ref="AQ43">SUMPRODUCT(($B$40:$B$45=AN43)*$D$40:$D$45)+SUMPRODUCT(($C$40:$C$45=AN43)*$E$40:$E$45)</f>
        <v>2</v>
      </c>
      <c r="AR43" s="34" cm="1">
        <f t="array" ref="AR43">SUMPRODUCT(($B$40:$B$45=AN43)*$E$40:$E$45)+SUMPRODUCT(($C$40:$C$45=AN43)*$D$40:$D$45)</f>
        <v>8</v>
      </c>
      <c r="AW43" s="35"/>
      <c r="AX43" s="3"/>
      <c r="AY43" s="3"/>
      <c r="AZ43" s="3"/>
    </row>
    <row r="44" spans="1:52" ht="19.95" customHeight="1" x14ac:dyDescent="0.3">
      <c r="A44" s="5"/>
      <c r="B44" s="7" t="s">
        <v>635</v>
      </c>
      <c r="C44" s="7" t="s">
        <v>633</v>
      </c>
      <c r="D44" s="40">
        <v>1</v>
      </c>
      <c r="E44" s="41">
        <v>1</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ARGENTINA</v>
      </c>
      <c r="AF44" s="46"/>
      <c r="AG44" s="44"/>
      <c r="AI44" s="62" t="s">
        <v>669</v>
      </c>
      <c r="AJ44" s="62"/>
      <c r="AK44" s="62">
        <v>9</v>
      </c>
      <c r="AL44" s="62"/>
      <c r="AW44" s="35"/>
      <c r="AX44" s="3"/>
      <c r="AY44" s="3"/>
      <c r="AZ44" s="3"/>
    </row>
    <row r="45" spans="1:52" ht="19.95" customHeight="1" x14ac:dyDescent="0.3">
      <c r="A45" s="5"/>
      <c r="B45" s="7" t="s">
        <v>634</v>
      </c>
      <c r="C45" s="7" t="s">
        <v>632</v>
      </c>
      <c r="D45" s="40">
        <v>0</v>
      </c>
      <c r="E45" s="41">
        <v>3</v>
      </c>
      <c r="F45" s="23"/>
      <c r="G45" s="23"/>
      <c r="H45" s="24"/>
      <c r="J45" s="11" t="s">
        <v>0</v>
      </c>
      <c r="K45" s="12" t="str">
        <f>_xlfn.XLOOKUP(J45,$F$5:$F$85,$G$5:$G$85, "")</f>
        <v>MEXICO</v>
      </c>
      <c r="L45" s="45">
        <v>1</v>
      </c>
      <c r="M45" s="43" t="s">
        <v>75</v>
      </c>
      <c r="N45" s="4"/>
      <c r="O45" s="4"/>
      <c r="P45" s="4"/>
      <c r="Q45" s="4"/>
      <c r="R45" s="4"/>
      <c r="S45" s="4"/>
      <c r="T45" s="4"/>
      <c r="U45" s="4"/>
      <c r="V45" s="4"/>
      <c r="W45" s="4"/>
      <c r="X45" s="4"/>
      <c r="Y45" s="4"/>
      <c r="Z45" s="4"/>
      <c r="AA45" s="4"/>
      <c r="AB45" s="4"/>
      <c r="AW45" s="35"/>
      <c r="AX45" s="3"/>
      <c r="AY45" s="3"/>
      <c r="AZ45" s="3"/>
    </row>
    <row r="46" spans="1:52" ht="19.95" customHeight="1" x14ac:dyDescent="0.3">
      <c r="B46" s="53" t="s">
        <v>604</v>
      </c>
      <c r="C46" s="54"/>
      <c r="D46" s="54"/>
      <c r="E46" s="54"/>
      <c r="F46" s="54"/>
      <c r="G46" s="54"/>
      <c r="H46" s="55"/>
      <c r="J46" s="14" t="str">
        <f>AU23</f>
        <v>3E</v>
      </c>
      <c r="K46" s="15" t="str">
        <f>_xlfn.XLOOKUP(J46,$F$5:$F$85,$G$5:$G$85, "")</f>
        <v>IVORY COAST</v>
      </c>
      <c r="L46" s="46"/>
      <c r="M46" s="44"/>
      <c r="AW46" s="35"/>
      <c r="AX46" s="3"/>
      <c r="AY46" s="3"/>
      <c r="AZ46" s="3"/>
    </row>
    <row r="47" spans="1:52" ht="19.95" customHeight="1" x14ac:dyDescent="0.3">
      <c r="B47" s="7" t="s">
        <v>636</v>
      </c>
      <c r="C47" s="7" t="s">
        <v>639</v>
      </c>
      <c r="D47" s="38">
        <v>3</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9008100</v>
      </c>
      <c r="AQ47" s="34" cm="1">
        <f t="array" ref="AQ47">SUMPRODUCT(($B$47:$B$52=AN47)*$D$47:$D$52)+SUMPRODUCT(($C$47:$C$52=AN47)*$E$47:$E$52)</f>
        <v>10</v>
      </c>
      <c r="AR47" s="34" cm="1">
        <f t="array" ref="AR47">SUMPRODUCT(($B$47:$B$52=AN47)*$E$47:$E$52)+SUMPRODUCT(($C$47:$C$52=AN47)*$D$47:$D$52)</f>
        <v>2</v>
      </c>
      <c r="AW47" s="35"/>
      <c r="AX47" s="3"/>
      <c r="AY47" s="3"/>
      <c r="AZ47" s="3"/>
    </row>
    <row r="48" spans="1:52" ht="19.95" customHeight="1" x14ac:dyDescent="0.3">
      <c r="B48" s="7" t="s">
        <v>637</v>
      </c>
      <c r="C48" s="7" t="s">
        <v>638</v>
      </c>
      <c r="D48" s="40">
        <v>2</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4</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4</v>
      </c>
      <c r="AP48" s="34">
        <f>AO48*1000000+(AQ48-AR48)*1000+AQ48*10-1</f>
        <v>4000049</v>
      </c>
      <c r="AQ48" s="34" cm="1">
        <f t="array" ref="AQ48">SUMPRODUCT(($B$47:$B$52=AN48)*$D$47:$D$52)+SUMPRODUCT(($C$47:$C$52=AN48)*$E$47:$E$52)</f>
        <v>5</v>
      </c>
      <c r="AR48" s="34" cm="1">
        <f t="array" ref="AR48">SUMPRODUCT(($B$47:$B$52=AN48)*$E$47:$E$52)+SUMPRODUCT(($C$47:$C$52=AN48)*$D$47:$D$52)</f>
        <v>5</v>
      </c>
      <c r="AW48" s="35"/>
      <c r="AX48" s="3"/>
      <c r="AY48" s="3"/>
      <c r="AZ48" s="3"/>
    </row>
    <row r="49" spans="2:52" ht="19.95" customHeight="1" x14ac:dyDescent="0.3">
      <c r="B49" s="7" t="s">
        <v>636</v>
      </c>
      <c r="C49" s="7" t="s">
        <v>637</v>
      </c>
      <c r="D49" s="40">
        <v>3</v>
      </c>
      <c r="E49" s="41">
        <v>1</v>
      </c>
      <c r="F49" s="26" t="s">
        <v>43</v>
      </c>
      <c r="G49" s="17" t="str" cm="1">
        <f t="array" ref="G49">IF(SUMPRODUCT((LEN($D$47:$D$52)&gt;0)*(LEN($E$47:$E$52)&gt;0))=0,"",IFERROR(INDEX($AN$47:$AN$50,MATCH(LARGE($AP$47:$AP$50,3),$AP$47:$AP$50,0)),""))</f>
        <v>IRAN</v>
      </c>
      <c r="H49" s="17" cm="1">
        <f t="array" ref="H49">IF(SUMPRODUCT((LEN($D$47:$D$52)&gt;0)*(LEN($E$47:$E$52)&gt;0))=0,"",IFERROR(INDEX($AO$47:$AO$50,MATCH(LARGE($AP$47:$AP$50,3),$AP$47:$AP$50,0)),""))</f>
        <v>4</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4000048</v>
      </c>
      <c r="AQ49" s="34" cm="1">
        <f t="array" ref="AQ49">SUMPRODUCT(($B$47:$B$52=AN49)*$D$47:$D$52)+SUMPRODUCT(($C$47:$C$52=AN49)*$E$47:$E$52)</f>
        <v>5</v>
      </c>
      <c r="AR49" s="34" cm="1">
        <f t="array" ref="AR49">SUMPRODUCT(($B$47:$B$52=AN49)*$E$47:$E$52)+SUMPRODUCT(($C$47:$C$52=AN49)*$D$47:$D$52)</f>
        <v>5</v>
      </c>
      <c r="AW49" s="35"/>
      <c r="AX49" s="3"/>
      <c r="AY49" s="3"/>
      <c r="AZ49" s="3"/>
    </row>
    <row r="50" spans="2:52" ht="19.95" customHeight="1" x14ac:dyDescent="0.3">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3J</v>
      </c>
      <c r="K50" s="15" t="str">
        <f>_xlfn.XLOOKUP(J50,$F$5:$F$85,$G$5:$G$85, "")</f>
        <v>ALGERIA</v>
      </c>
      <c r="L50" s="46"/>
      <c r="M50" s="44"/>
      <c r="AN50" s="34" t="str">
        <f>C48</f>
        <v>NEW ZEALAND</v>
      </c>
      <c r="AO50" s="34" cm="1">
        <f t="array" ref="AO50">3*SUMPRODUCT(($B$47:$B$52=AN50)*($D$47:$D$52&gt;$E$47:$E$52))+3*SUMPRODUCT(($C$47:$C$52=AN50)*($E$47:$E$52&gt;$D$47:$D$52))+SUMPRODUCT((($B$47:$B$52=AN50)+($C$47:$C$52=AN50))*($D$47:$D$52=$E$47:$E$52)*(LEN($D$47:$D$52)&gt;0))</f>
        <v>0</v>
      </c>
      <c r="AP50" s="34">
        <f>AO50*1000000+(AQ50-AR50)*1000+AQ50*10-3</f>
        <v>-8003</v>
      </c>
      <c r="AQ50" s="34" cm="1">
        <f t="array" ref="AQ50">SUMPRODUCT(($B$47:$B$52=AN50)*$D$47:$D$52)+SUMPRODUCT(($C$47:$C$52=AN50)*$E$47:$E$52)</f>
        <v>0</v>
      </c>
      <c r="AR50" s="34" cm="1">
        <f t="array" ref="AR50">SUMPRODUCT(($B$47:$B$52=AN50)*$E$47:$E$52)+SUMPRODUCT(($C$47:$C$52=AN50)*$D$47:$D$52)</f>
        <v>8</v>
      </c>
      <c r="AW50" s="35"/>
      <c r="AX50" s="3"/>
      <c r="AY50" s="3"/>
      <c r="AZ50" s="3"/>
    </row>
    <row r="51" spans="2:52" ht="19.95" customHeight="1" x14ac:dyDescent="0.3">
      <c r="B51" s="7" t="s">
        <v>639</v>
      </c>
      <c r="C51" s="7" t="s">
        <v>637</v>
      </c>
      <c r="D51" s="40">
        <v>2</v>
      </c>
      <c r="E51" s="41">
        <v>2</v>
      </c>
      <c r="H51" s="28"/>
      <c r="Y51" s="11" t="s">
        <v>34</v>
      </c>
      <c r="Z51" s="12" t="str">
        <f>IF(V43="","",IF(V43=1, U43, U44))</f>
        <v>BRAZIL</v>
      </c>
      <c r="AA51" s="45">
        <v>1</v>
      </c>
      <c r="AB51" s="43" t="s">
        <v>37</v>
      </c>
      <c r="AW51" s="35"/>
      <c r="AX51" s="3"/>
      <c r="AY51" s="3"/>
      <c r="AZ51" s="3"/>
    </row>
    <row r="52" spans="2:52" ht="19.95" customHeight="1" x14ac:dyDescent="0.3">
      <c r="B52" s="7" t="s">
        <v>638</v>
      </c>
      <c r="C52" s="7" t="s">
        <v>636</v>
      </c>
      <c r="D52" s="40">
        <v>0</v>
      </c>
      <c r="E52" s="41">
        <v>4</v>
      </c>
      <c r="F52" s="23"/>
      <c r="G52" s="23"/>
      <c r="H52" s="24"/>
      <c r="Y52" s="14" t="s">
        <v>35</v>
      </c>
      <c r="Z52" s="15" t="str">
        <f>IF(V59="","",IF(V59=1, U59, U60))</f>
        <v>ARGENTINA</v>
      </c>
      <c r="AA52" s="46"/>
      <c r="AB52" s="44"/>
      <c r="AW52" s="35"/>
      <c r="AX52" s="3"/>
      <c r="AY52" s="3"/>
      <c r="AZ52" s="3"/>
    </row>
    <row r="53" spans="2:52" ht="19.95" customHeight="1" x14ac:dyDescent="0.3">
      <c r="B53" s="53" t="s">
        <v>605</v>
      </c>
      <c r="C53" s="54"/>
      <c r="D53" s="54"/>
      <c r="E53" s="54"/>
      <c r="F53" s="54"/>
      <c r="G53" s="54"/>
      <c r="H53" s="55"/>
      <c r="J53" s="11" t="s">
        <v>53</v>
      </c>
      <c r="K53" s="12" t="str">
        <f>_xlfn.XLOOKUP(J53,$F$5:$F$85,$G$5:$G$85, "")</f>
        <v>ARGENTINA</v>
      </c>
      <c r="L53" s="45">
        <v>1</v>
      </c>
      <c r="M53" s="43" t="s">
        <v>77</v>
      </c>
      <c r="AW53" s="35"/>
      <c r="AX53" s="3"/>
      <c r="AY53" s="3"/>
      <c r="AZ53" s="3"/>
    </row>
    <row r="54" spans="2:52" ht="19.95" customHeight="1" x14ac:dyDescent="0.3">
      <c r="B54" s="7" t="s">
        <v>640</v>
      </c>
      <c r="C54" s="7" t="s">
        <v>643</v>
      </c>
      <c r="D54" s="38">
        <v>5</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9010120</v>
      </c>
      <c r="AQ54" s="34" cm="1">
        <f t="array" ref="AQ54">SUMPRODUCT(($B$54:$B$59=AN54)*$D$54:$D$59)+SUMPRODUCT(($C$54:$C$59=AN54)*$E$54:$E$59)</f>
        <v>12</v>
      </c>
      <c r="AR54" s="34" cm="1">
        <f t="array" ref="AR54">SUMPRODUCT(($B$54:$B$59=AN54)*$E$54:$E$59)+SUMPRODUCT(($C$54:$C$59=AN54)*$D$54:$D$59)</f>
        <v>2</v>
      </c>
      <c r="AW54" s="35"/>
      <c r="AX54" s="3"/>
      <c r="AY54" s="3"/>
      <c r="AZ54" s="3"/>
    </row>
    <row r="55" spans="2:52" ht="19.95" customHeight="1" x14ac:dyDescent="0.3">
      <c r="B55" s="7" t="s">
        <v>641</v>
      </c>
      <c r="C55" s="7" t="s">
        <v>642</v>
      </c>
      <c r="D55" s="40">
        <v>0</v>
      </c>
      <c r="E55" s="41">
        <v>3</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0</v>
      </c>
      <c r="AP55" s="34">
        <f>AO55*1000000+(AQ55-AR55)*1000+AQ55*10-1</f>
        <v>-10001</v>
      </c>
      <c r="AQ55" s="34" cm="1">
        <f t="array" ref="AQ55">SUMPRODUCT(($B$54:$B$59=AN55)*$D$54:$D$59)+SUMPRODUCT(($C$54:$C$59=AN55)*$E$54:$E$59)</f>
        <v>0</v>
      </c>
      <c r="AR55" s="34" cm="1">
        <f t="array" ref="AR55">SUMPRODUCT(($B$54:$B$59=AN55)*$E$54:$E$59)+SUMPRODUCT(($C$54:$C$59=AN55)*$D$54:$D$59)</f>
        <v>10</v>
      </c>
      <c r="AW55" s="35"/>
      <c r="AX55" s="3"/>
      <c r="AY55" s="3"/>
      <c r="AZ55" s="3"/>
    </row>
    <row r="56" spans="2:52" ht="19.95" customHeight="1" x14ac:dyDescent="0.3">
      <c r="B56" s="7" t="s">
        <v>640</v>
      </c>
      <c r="C56" s="7" t="s">
        <v>641</v>
      </c>
      <c r="D56" s="40">
        <v>4</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EGYPT</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3</v>
      </c>
      <c r="AP56" s="34">
        <f>AO56*1000000+(AQ56-AR56)*1000+AQ56*10-2</f>
        <v>2996028</v>
      </c>
      <c r="AQ56" s="34" cm="1">
        <f t="array" ref="AQ56">SUMPRODUCT(($B$54:$B$59=AN56)*$D$54:$D$59)+SUMPRODUCT(($C$54:$C$59=AN56)*$E$54:$E$59)</f>
        <v>3</v>
      </c>
      <c r="AR56" s="34" cm="1">
        <f t="array" ref="AR56">SUMPRODUCT(($B$54:$B$59=AN56)*$E$54:$E$59)+SUMPRODUCT(($C$54:$C$59=AN56)*$D$54:$D$59)</f>
        <v>7</v>
      </c>
      <c r="AW56" s="35"/>
      <c r="AX56" s="3"/>
      <c r="AY56" s="3"/>
      <c r="AZ56" s="3"/>
    </row>
    <row r="57" spans="2:52" ht="19.95" customHeight="1" x14ac:dyDescent="0.3">
      <c r="B57" s="7" t="s">
        <v>642</v>
      </c>
      <c r="C57" s="7" t="s">
        <v>643</v>
      </c>
      <c r="D57" s="40">
        <v>3</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45">
        <v>2</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6004067</v>
      </c>
      <c r="AQ57" s="34" cm="1">
        <f t="array" ref="AQ57">SUMPRODUCT(($B$54:$B$59=AN57)*$D$54:$D$59)+SUMPRODUCT(($C$54:$C$59=AN57)*$E$54:$E$59)</f>
        <v>7</v>
      </c>
      <c r="AR57" s="34" cm="1">
        <f t="array" ref="AR57">SUMPRODUCT(($B$54:$B$59=AN57)*$E$54:$E$59)+SUMPRODUCT(($C$54:$C$59=AN57)*$D$54:$D$59)</f>
        <v>3</v>
      </c>
      <c r="AW57" s="35"/>
      <c r="AX57" s="3"/>
      <c r="AY57" s="3"/>
      <c r="AZ57" s="3"/>
    </row>
    <row r="58" spans="2:52" ht="19.95" customHeight="1" x14ac:dyDescent="0.3">
      <c r="B58" s="7" t="s">
        <v>643</v>
      </c>
      <c r="C58" s="7" t="s">
        <v>641</v>
      </c>
      <c r="D58" s="40">
        <v>0</v>
      </c>
      <c r="E58" s="41">
        <v>2</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19.95" customHeight="1" x14ac:dyDescent="0.3">
      <c r="B59" s="7" t="s">
        <v>642</v>
      </c>
      <c r="C59" s="7" t="s">
        <v>640</v>
      </c>
      <c r="D59" s="40">
        <v>1</v>
      </c>
      <c r="E59" s="41">
        <v>3</v>
      </c>
      <c r="F59" s="23"/>
      <c r="G59" s="23"/>
      <c r="H59" s="24"/>
      <c r="T59" s="11" t="s">
        <v>30</v>
      </c>
      <c r="U59" s="12" t="str">
        <f>IF(Q55="","",IF(Q55=1, P55, P56))</f>
        <v>ARGENTINA</v>
      </c>
      <c r="V59" s="45">
        <v>1</v>
      </c>
      <c r="W59" s="43" t="s">
        <v>35</v>
      </c>
      <c r="AD59" s="47" t="s">
        <v>670</v>
      </c>
      <c r="AE59" s="48"/>
      <c r="AF59" s="48"/>
      <c r="AG59" s="48"/>
      <c r="AH59" s="48"/>
      <c r="AI59" s="48"/>
      <c r="AJ59" s="48"/>
      <c r="AK59" s="48"/>
      <c r="AL59" s="49"/>
      <c r="AW59" s="35"/>
      <c r="AX59" s="3"/>
      <c r="AY59" s="3"/>
      <c r="AZ59" s="3"/>
    </row>
    <row r="60" spans="2:52" ht="19.95" customHeight="1" x14ac:dyDescent="0.3">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19.95" customHeight="1" x14ac:dyDescent="0.3">
      <c r="B61" s="7" t="s">
        <v>645</v>
      </c>
      <c r="C61" s="7" t="s">
        <v>644</v>
      </c>
      <c r="D61" s="8">
        <v>3</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7006080</v>
      </c>
      <c r="AQ61" s="34" cm="1">
        <f t="array" ref="AQ61">SUMPRODUCT(($B$61:$B$66=AN61)*$D$61:$D$66)+SUMPRODUCT(($C$61:$C$66=AN61)*$E$61:$E$66)</f>
        <v>8</v>
      </c>
      <c r="AR61" s="34" cm="1">
        <f t="array" ref="AR61">SUMPRODUCT(($B$61:$B$66=AN61)*$E$61:$E$66)+SUMPRODUCT(($C$61:$C$66=AN61)*$D$61:$D$66)</f>
        <v>2</v>
      </c>
      <c r="AW61" s="35"/>
      <c r="AX61" s="3"/>
      <c r="AY61" s="3"/>
      <c r="AZ61" s="3"/>
    </row>
    <row r="62" spans="2:52" ht="19.95" customHeight="1" x14ac:dyDescent="0.3">
      <c r="B62" s="7" t="s">
        <v>646</v>
      </c>
      <c r="C62" s="7" t="s">
        <v>647</v>
      </c>
      <c r="D62" s="8">
        <v>0</v>
      </c>
      <c r="E62" s="8">
        <v>4</v>
      </c>
      <c r="F62" s="25" t="s">
        <v>50</v>
      </c>
      <c r="G62" s="10" t="str" cm="1">
        <f t="array" ref="G62">IF(SUMPRODUCT((LEN($D$61:$D$66)&gt;0)*(LEN($E$61:$E$66)&gt;0))=0,"",IFERROR(INDEX($AN$61:$AN$64,MATCH(LARGE($AP$61:$AP$64,2),$AP$61:$AP$64,0)),""))</f>
        <v>NORWAY</v>
      </c>
      <c r="H62" s="10" cm="1">
        <f t="array" ref="H62">IF(SUMPRODUCT((LEN($D$61:$D$66)&gt;0)*(LEN($E$61:$E$66)&gt;0))=0,"",IFERROR(INDEX($AO$61:$AO$64,MATCH(LARGE($AP$61:$AP$64,2),$AP$61:$AP$64,0)),""))</f>
        <v>7</v>
      </c>
      <c r="J62" s="14" t="str">
        <f>AU24</f>
        <v>3G</v>
      </c>
      <c r="K62" s="15" t="str">
        <f>_xlfn.XLOOKUP(J62,$F$5:$F$85,$G$5:$G$85, "")</f>
        <v>IRAN</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2998039</v>
      </c>
      <c r="AQ62" s="34" cm="1">
        <f t="array" ref="AQ62">SUMPRODUCT(($B$61:$B$66=AN62)*$D$61:$D$66)+SUMPRODUCT(($C$61:$C$66=AN62)*$E$61:$E$66)</f>
        <v>4</v>
      </c>
      <c r="AR62" s="34" cm="1">
        <f t="array" ref="AR62">SUMPRODUCT(($B$61:$B$66=AN62)*$E$61:$E$66)+SUMPRODUCT(($C$61:$C$66=AN62)*$D$61:$D$66)</f>
        <v>6</v>
      </c>
      <c r="AW62" s="35"/>
      <c r="AX62" s="3"/>
      <c r="AY62" s="3"/>
      <c r="AZ62" s="3"/>
    </row>
    <row r="63" spans="2:52" ht="19.95" customHeight="1" x14ac:dyDescent="0.3">
      <c r="B63" s="7" t="s">
        <v>645</v>
      </c>
      <c r="C63" s="7" t="s">
        <v>646</v>
      </c>
      <c r="D63" s="8">
        <v>4</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7</v>
      </c>
      <c r="AP63" s="34">
        <f>AO63*1000000+(AQ63-AR63)*1000+AQ63*10-2</f>
        <v>7006078</v>
      </c>
      <c r="AQ63" s="34" cm="1">
        <f t="array" ref="AQ63">SUMPRODUCT(($B$61:$B$66=AN63)*$D$61:$D$66)+SUMPRODUCT(($C$61:$C$66=AN63)*$E$61:$E$66)</f>
        <v>8</v>
      </c>
      <c r="AR63" s="34" cm="1">
        <f t="array" ref="AR63">SUMPRODUCT(($B$61:$B$66=AN63)*$E$61:$E$66)+SUMPRODUCT(($C$61:$C$66=AN63)*$D$61:$D$66)</f>
        <v>2</v>
      </c>
      <c r="AW63" s="35"/>
      <c r="AX63" s="3"/>
      <c r="AY63" s="3"/>
      <c r="AZ63" s="3"/>
    </row>
    <row r="64" spans="2:52" ht="19.95" customHeight="1" x14ac:dyDescent="0.3">
      <c r="B64" s="7" t="s">
        <v>647</v>
      </c>
      <c r="C64" s="7" t="s">
        <v>644</v>
      </c>
      <c r="D64" s="8">
        <v>3</v>
      </c>
      <c r="E64" s="8">
        <v>1</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-10003</v>
      </c>
      <c r="AQ64" s="34" cm="1">
        <f t="array" ref="AQ64">SUMPRODUCT(($B$61:$B$66=AN64)*$D$61:$D$66)+SUMPRODUCT(($C$61:$C$66=AN64)*$E$61:$E$66)</f>
        <v>0</v>
      </c>
      <c r="AR64" s="34" cm="1">
        <f t="array" ref="AR64">SUMPRODUCT(($B$61:$B$66=AN64)*$E$61:$E$66)+SUMPRODUCT(($C$61:$C$66=AN64)*$D$61:$D$66)</f>
        <v>10</v>
      </c>
      <c r="AW64" s="35"/>
      <c r="AX64" s="3"/>
      <c r="AY64" s="3"/>
      <c r="AZ64" s="3"/>
    </row>
    <row r="65" spans="2:52" ht="19.95" customHeight="1" x14ac:dyDescent="0.3">
      <c r="B65" s="7" t="s">
        <v>647</v>
      </c>
      <c r="C65" s="7" t="s">
        <v>645</v>
      </c>
      <c r="D65" s="8">
        <v>1</v>
      </c>
      <c r="E65" s="8">
        <v>1</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19.95" customHeight="1" x14ac:dyDescent="0.3">
      <c r="B66" s="7" t="s">
        <v>644</v>
      </c>
      <c r="C66" s="7" t="s">
        <v>646</v>
      </c>
      <c r="D66" s="8">
        <v>2</v>
      </c>
      <c r="E66" s="8">
        <v>0</v>
      </c>
      <c r="F66" s="23"/>
      <c r="G66" s="23"/>
      <c r="H66" s="24"/>
      <c r="J66" s="14" t="str">
        <f>AU29</f>
        <v>3I</v>
      </c>
      <c r="K66" s="15" t="str">
        <f>_xlfn.XLOOKUP(J66,$F$5:$F$85,$G$5:$G$85, "")</f>
        <v>SENEGAL</v>
      </c>
      <c r="L66" s="46"/>
      <c r="M66" s="44"/>
      <c r="AD66" s="70"/>
      <c r="AE66" s="71"/>
      <c r="AF66" s="71"/>
      <c r="AG66" s="71"/>
      <c r="AH66" s="72"/>
      <c r="AI66" s="32"/>
      <c r="AJ66" s="70"/>
      <c r="AK66" s="71"/>
      <c r="AL66" s="72"/>
      <c r="AM66" s="33"/>
      <c r="AN66" s="37"/>
      <c r="AW66" s="35"/>
      <c r="AX66" s="3"/>
      <c r="AY66" s="3"/>
      <c r="AZ66" s="3"/>
    </row>
    <row r="67" spans="2:52" ht="19.95" customHeight="1" x14ac:dyDescent="0.3">
      <c r="B67" s="53" t="s">
        <v>607</v>
      </c>
      <c r="C67" s="54"/>
      <c r="D67" s="54"/>
      <c r="E67" s="54"/>
      <c r="F67" s="54"/>
      <c r="G67" s="54"/>
      <c r="H67" s="55"/>
      <c r="AW67" s="35"/>
      <c r="AX67" s="3"/>
      <c r="AY67" s="3"/>
      <c r="AZ67" s="3"/>
    </row>
    <row r="68" spans="2:52" ht="19.95" customHeight="1" x14ac:dyDescent="0.3">
      <c r="B68" s="7" t="s">
        <v>648</v>
      </c>
      <c r="C68" s="7" t="s">
        <v>649</v>
      </c>
      <c r="D68" s="8">
        <v>3</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9009090</v>
      </c>
      <c r="AQ68" s="34" cm="1">
        <f t="array" ref="AQ68">SUMPRODUCT(($B$68:$B$73=AN68)*$D$68:$D$73)+SUMPRODUCT(($C$68:$C$73=AN68)*$E$68:$E$73)</f>
        <v>9</v>
      </c>
      <c r="AR68" s="34" cm="1">
        <f t="array" ref="AR68">SUMPRODUCT(($B$68:$B$73=AN68)*$E$68:$E$73)+SUMPRODUCT(($C$68:$C$73=AN68)*$D$68:$D$73)</f>
        <v>0</v>
      </c>
      <c r="AW68" s="35"/>
      <c r="AX68" s="3"/>
      <c r="AY68" s="3"/>
      <c r="AZ68" s="3"/>
    </row>
    <row r="69" spans="2:52" ht="19.95" customHeight="1" x14ac:dyDescent="0.3">
      <c r="B69" s="7" t="s">
        <v>650</v>
      </c>
      <c r="C69" s="7" t="s">
        <v>651</v>
      </c>
      <c r="D69" s="8">
        <v>3</v>
      </c>
      <c r="E69" s="8">
        <v>1</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3</v>
      </c>
      <c r="AP69" s="34">
        <f>AO69*1000000+(AQ69-AR69)*1000+AQ69*10-1</f>
        <v>2997029</v>
      </c>
      <c r="AQ69" s="34" cm="1">
        <f t="array" ref="AQ69">SUMPRODUCT(($B$68:$B$73=AN69)*$D$68:$D$73)+SUMPRODUCT(($C$68:$C$73=AN69)*$E$68:$E$73)</f>
        <v>3</v>
      </c>
      <c r="AR69" s="34" cm="1">
        <f t="array" ref="AR69">SUMPRODUCT(($B$68:$B$73=AN69)*$E$68:$E$73)+SUMPRODUCT(($C$68:$C$73=AN69)*$D$68:$D$73)</f>
        <v>6</v>
      </c>
      <c r="AW69" s="35"/>
      <c r="AX69" s="3"/>
      <c r="AY69" s="3"/>
      <c r="AZ69" s="3"/>
    </row>
    <row r="70" spans="2:52" ht="19.95" customHeight="1" x14ac:dyDescent="0.3">
      <c r="B70" s="7" t="s">
        <v>648</v>
      </c>
      <c r="C70" s="7" t="s">
        <v>650</v>
      </c>
      <c r="D70" s="8">
        <v>2</v>
      </c>
      <c r="E70" s="8">
        <v>0</v>
      </c>
      <c r="F70" s="26" t="s">
        <v>55</v>
      </c>
      <c r="G70" s="17" t="str" cm="1">
        <f t="array" ref="G70">IF(SUMPRODUCT((LEN($D$68:$D$73)&gt;0)*(LEN($E$68:$E$73)&gt;0))=0,"",IFERROR(INDEX($AN$68:$AN$71,MATCH(LARGE($AP$68:$AP$71,3),$AP$68:$AP$71,0)),""))</f>
        <v>ALGERIA</v>
      </c>
      <c r="H70" s="17" cm="1">
        <f t="array" ref="H70">IF(SUMPRODUCT((LEN($D$68:$D$73)&gt;0)*(LEN($E$68:$E$73)&gt;0))=0,"",IFERROR(INDEX($AO$68:$AO$71,MATCH(LARGE($AP$68:$AP$71,3),$AP$68:$AP$71,0)),""))</f>
        <v>3</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6002048</v>
      </c>
      <c r="AQ70" s="34" cm="1">
        <f t="array" ref="AQ70">SUMPRODUCT(($B$68:$B$73=AN70)*$D$68:$D$73)+SUMPRODUCT(($C$68:$C$73=AN70)*$E$68:$E$73)</f>
        <v>5</v>
      </c>
      <c r="AR70" s="34" cm="1">
        <f t="array" ref="AR70">SUMPRODUCT(($B$68:$B$73=AN70)*$E$68:$E$73)+SUMPRODUCT(($C$68:$C$73=AN70)*$D$68:$D$73)</f>
        <v>3</v>
      </c>
      <c r="AW70" s="35"/>
      <c r="AX70" s="3"/>
      <c r="AY70" s="3"/>
      <c r="AZ70" s="3"/>
    </row>
    <row r="71" spans="2:52" ht="19.95" customHeight="1" x14ac:dyDescent="0.3">
      <c r="B71" s="7" t="s">
        <v>651</v>
      </c>
      <c r="C71" s="7" t="s">
        <v>649</v>
      </c>
      <c r="D71" s="8">
        <v>1</v>
      </c>
      <c r="E71" s="8">
        <v>3</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-7983</v>
      </c>
      <c r="AQ71" s="34" cm="1">
        <f t="array" ref="AQ71">SUMPRODUCT(($B$68:$B$73=AN71)*$D$68:$D$73)+SUMPRODUCT(($C$68:$C$73=AN71)*$E$68:$E$73)</f>
        <v>2</v>
      </c>
      <c r="AR71" s="34" cm="1">
        <f t="array" ref="AR71">SUMPRODUCT(($B$68:$B$73=AN71)*$E$68:$E$73)+SUMPRODUCT(($C$68:$C$73=AN71)*$D$68:$D$73)</f>
        <v>10</v>
      </c>
      <c r="AW71" s="35"/>
      <c r="AX71" s="3"/>
      <c r="AY71" s="3"/>
      <c r="AZ71" s="3"/>
    </row>
    <row r="72" spans="2:52" ht="19.95" customHeight="1" x14ac:dyDescent="0.3">
      <c r="B72" s="7" t="s">
        <v>649</v>
      </c>
      <c r="C72" s="7" t="s">
        <v>650</v>
      </c>
      <c r="D72" s="8">
        <v>0</v>
      </c>
      <c r="E72" s="8">
        <v>2</v>
      </c>
      <c r="H72" s="28"/>
      <c r="N72" s="3"/>
      <c r="O72" s="3"/>
      <c r="P72" s="3"/>
      <c r="Q72" s="3"/>
      <c r="R72" s="3"/>
      <c r="S72" s="3"/>
      <c r="T72" s="3"/>
      <c r="U72" s="3"/>
      <c r="V72" s="3"/>
      <c r="AW72" s="35"/>
      <c r="AX72" s="3"/>
      <c r="AY72" s="3"/>
      <c r="AZ72" s="3"/>
    </row>
    <row r="73" spans="2:52" ht="19.95" customHeight="1" x14ac:dyDescent="0.3">
      <c r="B73" s="7" t="s">
        <v>651</v>
      </c>
      <c r="C73" s="7" t="s">
        <v>648</v>
      </c>
      <c r="D73" s="8">
        <v>0</v>
      </c>
      <c r="E73" s="8">
        <v>4</v>
      </c>
      <c r="F73" s="23"/>
      <c r="G73" s="23"/>
      <c r="H73" s="24"/>
      <c r="N73" s="3"/>
      <c r="O73" s="3"/>
      <c r="P73" s="3"/>
      <c r="Q73" s="3"/>
      <c r="R73" s="3"/>
      <c r="S73" s="3"/>
      <c r="T73" s="3"/>
      <c r="U73" s="3"/>
      <c r="V73" s="3"/>
      <c r="AW73" s="35"/>
      <c r="AX73" s="3"/>
      <c r="AY73" s="3"/>
      <c r="AZ73" s="3"/>
    </row>
    <row r="74" spans="2:52" ht="19.95" customHeight="1" x14ac:dyDescent="0.3">
      <c r="B74" s="53" t="s">
        <v>608</v>
      </c>
      <c r="C74" s="54"/>
      <c r="D74" s="54"/>
      <c r="E74" s="54"/>
      <c r="F74" s="54"/>
      <c r="G74" s="54"/>
      <c r="H74" s="55"/>
      <c r="N74" s="3"/>
      <c r="O74" s="3"/>
      <c r="P74" s="3"/>
      <c r="Q74" s="3"/>
      <c r="R74" s="3"/>
      <c r="S74" s="3"/>
      <c r="T74" s="3"/>
      <c r="U74" s="3"/>
      <c r="V74" s="3"/>
      <c r="AW74" s="35"/>
      <c r="AX74" s="3"/>
      <c r="AY74" s="3"/>
      <c r="AZ74" s="3"/>
    </row>
    <row r="75" spans="2:52" ht="19.95" customHeight="1" x14ac:dyDescent="0.3">
      <c r="B75" s="7" t="s">
        <v>652</v>
      </c>
      <c r="C75" s="7" t="s">
        <v>655</v>
      </c>
      <c r="D75" s="8">
        <v>5</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9010110</v>
      </c>
      <c r="AQ75" s="34" cm="1">
        <f t="array" ref="AQ75">SUMPRODUCT(($B$75:$B$80=AN75)*$D$75:$D$80)+SUMPRODUCT(($C$75:$C$80=AN75)*$E$75:$E$80)</f>
        <v>11</v>
      </c>
      <c r="AR75" s="34" cm="1">
        <f t="array" ref="AR75">SUMPRODUCT(($B$75:$B$80=AN75)*$E$75:$E$80)+SUMPRODUCT(($C$75:$C$80=AN75)*$D$75:$D$80)</f>
        <v>1</v>
      </c>
      <c r="AW75" s="35"/>
      <c r="AX75" s="3"/>
      <c r="AY75" s="3"/>
      <c r="AZ75" s="3"/>
    </row>
    <row r="76" spans="2:52" ht="19.95" customHeight="1" x14ac:dyDescent="0.3">
      <c r="B76" s="7" t="s">
        <v>653</v>
      </c>
      <c r="C76" s="7" t="s">
        <v>654</v>
      </c>
      <c r="D76" s="8">
        <v>0</v>
      </c>
      <c r="E76" s="8">
        <v>3</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992019</v>
      </c>
      <c r="AQ76" s="34" cm="1">
        <f t="array" ref="AQ76">SUMPRODUCT(($B$75:$B$80=AN76)*$D$75:$D$80)+SUMPRODUCT(($C$75:$C$80=AN76)*$E$75:$E$80)</f>
        <v>2</v>
      </c>
      <c r="AR76" s="34" cm="1">
        <f t="array" ref="AR76">SUMPRODUCT(($B$75:$B$80=AN76)*$E$75:$E$80)+SUMPRODUCT(($C$75:$C$80=AN76)*$D$75:$D$80)</f>
        <v>10</v>
      </c>
      <c r="AW76" s="35"/>
      <c r="AX76" s="3"/>
      <c r="AY76" s="3"/>
      <c r="AZ76" s="3"/>
    </row>
    <row r="77" spans="2:52" ht="19.95" customHeight="1" x14ac:dyDescent="0.3">
      <c r="B77" s="7" t="s">
        <v>652</v>
      </c>
      <c r="C77" s="7" t="s">
        <v>653</v>
      </c>
      <c r="D77" s="8">
        <v>3</v>
      </c>
      <c r="E77" s="8">
        <v>0</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994018</v>
      </c>
      <c r="AQ77" s="34" cm="1">
        <f t="array" ref="AQ77">SUMPRODUCT(($B$75:$B$80=AN77)*$D$75:$D$80)+SUMPRODUCT(($C$75:$C$80=AN77)*$E$75:$E$80)</f>
        <v>2</v>
      </c>
      <c r="AR77" s="34" cm="1">
        <f t="array" ref="AR77">SUMPRODUCT(($B$75:$B$80=AN77)*$E$75:$E$80)+SUMPRODUCT(($C$75:$C$80=AN77)*$D$75:$D$80)</f>
        <v>8</v>
      </c>
      <c r="AW77" s="35"/>
      <c r="AX77" s="3"/>
      <c r="AY77" s="3"/>
      <c r="AZ77" s="3"/>
    </row>
    <row r="78" spans="2:52" ht="19.95" customHeight="1" x14ac:dyDescent="0.3">
      <c r="B78" s="7" t="s">
        <v>654</v>
      </c>
      <c r="C78" s="7" t="s">
        <v>655</v>
      </c>
      <c r="D78" s="8">
        <v>3</v>
      </c>
      <c r="E78" s="8">
        <v>0</v>
      </c>
      <c r="F78" s="27" t="s">
        <v>60</v>
      </c>
      <c r="G78" s="7" t="str" cm="1">
        <f t="array" ref="G78">IF(SUMPRODUCT((LEN($D$75:$D$80)&gt;0)*(LEN($E$75:$E$80)&gt;0))=0,"",IFERROR(INDEX($AN$75:$AN$78,MATCH(LARGE($AP$75:$AP$78,4),$AP$75:$AP$78,0)),""))</f>
        <v>DR CONGO</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6004067</v>
      </c>
      <c r="AQ78" s="34" cm="1">
        <f t="array" ref="AQ78">SUMPRODUCT(($B$75:$B$80=AN78)*$D$75:$D$80)+SUMPRODUCT(($C$75:$C$80=AN78)*$E$75:$E$80)</f>
        <v>7</v>
      </c>
      <c r="AR78" s="34" cm="1">
        <f t="array" ref="AR78">SUMPRODUCT(($B$75:$B$80=AN78)*$E$75:$E$80)+SUMPRODUCT(($C$75:$C$80=AN78)*$D$75:$D$80)</f>
        <v>3</v>
      </c>
      <c r="AW78" s="35"/>
      <c r="AX78" s="3"/>
      <c r="AY78" s="3"/>
      <c r="AZ78" s="3"/>
    </row>
    <row r="79" spans="2:52" ht="19.95" customHeight="1" x14ac:dyDescent="0.3">
      <c r="B79" s="7" t="s">
        <v>654</v>
      </c>
      <c r="C79" s="7" t="s">
        <v>652</v>
      </c>
      <c r="D79" s="8">
        <v>1</v>
      </c>
      <c r="E79" s="8">
        <v>3</v>
      </c>
      <c r="H79" s="28"/>
      <c r="N79" s="3"/>
      <c r="O79" s="3"/>
      <c r="P79" s="3"/>
      <c r="Q79" s="3"/>
      <c r="R79" s="3"/>
      <c r="S79" s="3"/>
      <c r="T79" s="3"/>
      <c r="U79" s="3"/>
      <c r="V79" s="3"/>
      <c r="AW79" s="35"/>
      <c r="AX79" s="3"/>
      <c r="AY79" s="3"/>
      <c r="AZ79" s="3"/>
    </row>
    <row r="80" spans="2:52" ht="19.95" customHeight="1" x14ac:dyDescent="0.3">
      <c r="B80" s="7" t="s">
        <v>655</v>
      </c>
      <c r="C80" s="7" t="s">
        <v>653</v>
      </c>
      <c r="D80" s="8">
        <v>2</v>
      </c>
      <c r="E80" s="8">
        <v>2</v>
      </c>
      <c r="F80" s="23"/>
      <c r="G80" s="23"/>
      <c r="H80" s="24"/>
      <c r="N80" s="3"/>
      <c r="O80" s="3"/>
      <c r="P80" s="3"/>
      <c r="Q80" s="3"/>
      <c r="R80" s="3"/>
      <c r="S80" s="3"/>
      <c r="T80" s="3"/>
      <c r="U80" s="3"/>
      <c r="V80" s="3"/>
      <c r="AW80" s="35"/>
      <c r="AX80" s="3"/>
      <c r="AY80" s="3"/>
      <c r="AZ80" s="3"/>
    </row>
    <row r="81" spans="2:52" ht="19.95" customHeight="1" x14ac:dyDescent="0.3">
      <c r="B81" s="53" t="s">
        <v>609</v>
      </c>
      <c r="C81" s="54"/>
      <c r="D81" s="54"/>
      <c r="E81" s="54"/>
      <c r="F81" s="54"/>
      <c r="G81" s="54"/>
      <c r="H81" s="55"/>
      <c r="N81" s="3"/>
      <c r="O81" s="3"/>
      <c r="P81" s="3"/>
      <c r="Q81" s="3"/>
      <c r="R81" s="3"/>
      <c r="S81" s="3"/>
      <c r="T81" s="3"/>
      <c r="U81" s="3"/>
      <c r="V81" s="3"/>
      <c r="AW81" s="35"/>
      <c r="AX81" s="3"/>
      <c r="AY81" s="3"/>
      <c r="AZ81" s="3"/>
    </row>
    <row r="82" spans="2:52" ht="19.95" customHeight="1" x14ac:dyDescent="0.3">
      <c r="B82" s="7" t="s">
        <v>656</v>
      </c>
      <c r="C82" s="7" t="s">
        <v>659</v>
      </c>
      <c r="D82" s="8">
        <v>2</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9008090</v>
      </c>
      <c r="AQ82" s="34" cm="1">
        <f t="array" ref="AQ82">SUMPRODUCT(($B$82:$B$87=AN82)*$D$82:$D$87)+SUMPRODUCT(($C$82:$C$87=AN82)*$E$82:$E$87)</f>
        <v>9</v>
      </c>
      <c r="AR82" s="34" cm="1">
        <f t="array" ref="AR82">SUMPRODUCT(($B$82:$B$87=AN82)*$E$82:$E$87)+SUMPRODUCT(($C$82:$C$87=AN82)*$D$82:$D$87)</f>
        <v>1</v>
      </c>
      <c r="AW82" s="35"/>
      <c r="AX82" s="3"/>
      <c r="AY82" s="3"/>
      <c r="AZ82" s="3"/>
    </row>
    <row r="83" spans="2:52" ht="19.95" customHeight="1" x14ac:dyDescent="0.3">
      <c r="B83" s="7" t="s">
        <v>657</v>
      </c>
      <c r="C83" s="7" t="s">
        <v>658</v>
      </c>
      <c r="D83" s="8">
        <v>1</v>
      </c>
      <c r="E83" s="8">
        <v>1</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6</v>
      </c>
      <c r="AP83" s="34">
        <f>AO83*1000000+(AQ83-AR83)*1000+AQ83*10-1</f>
        <v>6002059</v>
      </c>
      <c r="AQ83" s="34" cm="1">
        <f t="array" ref="AQ83">SUMPRODUCT(($B$82:$B$87=AN83)*$D$82:$D$87)+SUMPRODUCT(($C$82:$C$87=AN83)*$E$82:$E$87)</f>
        <v>6</v>
      </c>
      <c r="AR83" s="34" cm="1">
        <f t="array" ref="AR83">SUMPRODUCT(($B$82:$B$87=AN83)*$E$82:$E$87)+SUMPRODUCT(($C$82:$C$87=AN83)*$D$82:$D$87)</f>
        <v>4</v>
      </c>
      <c r="AW83" s="35"/>
      <c r="AX83" s="3"/>
      <c r="AY83" s="3"/>
      <c r="AZ83" s="3"/>
    </row>
    <row r="84" spans="2:52" ht="19.95" customHeight="1" x14ac:dyDescent="0.3">
      <c r="B84" s="7" t="s">
        <v>656</v>
      </c>
      <c r="C84" s="7" t="s">
        <v>657</v>
      </c>
      <c r="D84" s="8">
        <v>3</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1</v>
      </c>
      <c r="AN84" s="34" t="str">
        <f>B83</f>
        <v>GHANA</v>
      </c>
      <c r="AO84" s="34" cm="1">
        <f t="array" ref="AO84">3*SUMPRODUCT(($B$82:$B$87=AN84)*($D$82:$D$87&gt;$E$82:$E$87))+3*SUMPRODUCT(($C$82:$C$87=AN84)*($E$82:$E$87&gt;$D$82:$D$87))+SUMPRODUCT((($B$82:$B$87=AN84)+($C$82:$C$87=AN84))*($D$82:$D$87=$E$82:$E$87)*(LEN($D$82:$D$87)&gt;0))</f>
        <v>1</v>
      </c>
      <c r="AP84" s="34">
        <f>AO84*1000000+(AQ84-AR84)*1000+AQ84*10-2</f>
        <v>996018</v>
      </c>
      <c r="AQ84" s="34" cm="1">
        <f t="array" ref="AQ84">SUMPRODUCT(($B$82:$B$87=AN84)*$D$82:$D$87)+SUMPRODUCT(($C$82:$C$87=AN84)*$E$82:$E$87)</f>
        <v>2</v>
      </c>
      <c r="AR84" s="34" cm="1">
        <f t="array" ref="AR84">SUMPRODUCT(($B$82:$B$87=AN84)*$E$82:$E$87)+SUMPRODUCT(($C$82:$C$87=AN84)*$D$82:$D$87)</f>
        <v>6</v>
      </c>
      <c r="AW84" s="35"/>
      <c r="AX84" s="3"/>
      <c r="AY84" s="3"/>
      <c r="AZ84" s="3"/>
    </row>
    <row r="85" spans="2:52" ht="19.95" customHeight="1" x14ac:dyDescent="0.3">
      <c r="B85" s="7" t="s">
        <v>658</v>
      </c>
      <c r="C85" s="7" t="s">
        <v>659</v>
      </c>
      <c r="D85" s="8">
        <v>1</v>
      </c>
      <c r="E85" s="8">
        <v>3</v>
      </c>
      <c r="F85" s="27" t="s">
        <v>64</v>
      </c>
      <c r="G85" s="7" t="str" cm="1">
        <f t="array" ref="G85">IF(SUMPRODUCT((LEN($D$82:$D$87)&gt;0)*(LEN($E$82:$E$87)&gt;0))=0,"",IFERROR(INDEX($AN$82:$AN$85,MATCH(LARGE($AP$82:$AP$85,4),$AP$82:$AP$85,0)),""))</f>
        <v>PANAMA</v>
      </c>
      <c r="H85" s="7" cm="1">
        <f t="array" ref="H85">IF(SUMPRODUCT((LEN($D$82:$D$87)&gt;0)*(LEN($E$82:$E$87)&gt;0))=0,"",IFERROR(INDEX($AO$82:$AO$85,MATCH(LARGE($AP$82:$AP$85,4),$AP$82:$AP$85,0)),""))</f>
        <v>1</v>
      </c>
      <c r="AN85" s="34" t="str">
        <f>C83</f>
        <v>PANAMA</v>
      </c>
      <c r="AO85" s="34" cm="1">
        <f t="array" ref="AO85">3*SUMPRODUCT(($B$82:$B$87=AN85)*($D$82:$D$87&gt;$E$82:$E$87))+3*SUMPRODUCT(($C$82:$C$87=AN85)*($E$82:$E$87&gt;$D$82:$D$87))+SUMPRODUCT((($B$82:$B$87=AN85)+($C$82:$C$87=AN85))*($D$82:$D$87=$E$82:$E$87)*(LEN($D$82:$D$87)&gt;0))</f>
        <v>1</v>
      </c>
      <c r="AP85" s="34">
        <f>AO85*1000000+(AQ85-AR85)*1000+AQ85*10-3</f>
        <v>994017</v>
      </c>
      <c r="AQ85" s="34" cm="1">
        <f t="array" ref="AQ85">SUMPRODUCT(($B$82:$B$87=AN85)*$D$82:$D$87)+SUMPRODUCT(($C$82:$C$87=AN85)*$E$82:$E$87)</f>
        <v>2</v>
      </c>
      <c r="AR85" s="34" cm="1">
        <f t="array" ref="AR85">SUMPRODUCT(($B$82:$B$87=AN85)*$E$82:$E$87)+SUMPRODUCT(($C$82:$C$87=AN85)*$D$82:$D$87)</f>
        <v>8</v>
      </c>
      <c r="AW85" s="35"/>
      <c r="AX85" s="3"/>
      <c r="AY85" s="3"/>
      <c r="AZ85" s="3"/>
    </row>
    <row r="86" spans="2:52" ht="19.95" customHeight="1" x14ac:dyDescent="0.3">
      <c r="B86" s="7" t="s">
        <v>658</v>
      </c>
      <c r="C86" s="7" t="s">
        <v>656</v>
      </c>
      <c r="D86" s="8">
        <v>0</v>
      </c>
      <c r="E86" s="8">
        <v>4</v>
      </c>
      <c r="H86" s="28"/>
      <c r="AW86" s="35"/>
      <c r="AX86" s="3"/>
      <c r="AY86" s="3"/>
      <c r="AZ86" s="3"/>
    </row>
    <row r="87" spans="2:52" ht="19.95" customHeight="1" x14ac:dyDescent="0.3">
      <c r="B87" s="7" t="s">
        <v>659</v>
      </c>
      <c r="C87" s="7" t="s">
        <v>657</v>
      </c>
      <c r="D87" s="8">
        <v>2</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7968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7968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Metadata/LabelInfo.xml><?xml version="1.0" encoding="utf-8"?>
<clbl:labelList xmlns:clbl="http://schemas.microsoft.com/office/2020/mipLabelMetadata">
  <clbl:label id="{50243f8b-2b9f-433c-964a-16fcace7db7f}" enabled="1" method="Standard" siteId="{aec650de-3432-485f-a3e8-9ac6e670969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Polletta Matteo Francesco</cp:lastModifiedBy>
  <dcterms:created xsi:type="dcterms:W3CDTF">2021-06-09T07:33:52Z</dcterms:created>
  <dcterms:modified xsi:type="dcterms:W3CDTF">2026-06-11T17:15:03Z</dcterms:modified>
</cp:coreProperties>
</file>