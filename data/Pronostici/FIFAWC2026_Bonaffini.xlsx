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microsoft.com/office/2011/relationships/webextensiontaskpanes" Target="xl/webextensions/taskpanes.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Users/riccardorao/Desktop/"/>
    </mc:Choice>
  </mc:AlternateContent>
  <xr:revisionPtr revIDLastSave="0" documentId="8_{2B6D7999-29C9-4A47-A6CA-066C454EFA5F}" xr6:coauthVersionLast="47" xr6:coauthVersionMax="47" xr10:uidLastSave="{00000000-0000-0000-0000-000000000000}"/>
  <bookViews>
    <workbookView xWindow="0" yWindow="660" windowWidth="29400" windowHeight="18460" tabRatio="716" xr2:uid="{4DDE4551-F0E8-0646-9805-5D2DA8495CA6}"/>
  </bookViews>
  <sheets>
    <sheet name="Bracket" sheetId="3" r:id="rId1"/>
    <sheet name="Terze" sheetId="6" state="hidden" r:id="rId2"/>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63" i="3" l="1"/>
  <c r="AN64" i="3"/>
  <c r="AN85" i="3"/>
  <c r="AQ85" i="3" a="1"/>
  <c r="AQ85" i="3"/>
  <c r="AN84" i="3"/>
  <c r="AR84" i="3" a="1"/>
  <c r="AR84" i="3"/>
  <c r="AN83" i="3"/>
  <c r="AR83" i="3" a="1"/>
  <c r="AR83" i="3"/>
  <c r="AN82" i="3"/>
  <c r="AR82" i="3" a="1"/>
  <c r="AR82" i="3"/>
  <c r="AN78" i="3"/>
  <c r="AO78" i="3" a="1"/>
  <c r="AO78" i="3"/>
  <c r="AN77" i="3"/>
  <c r="AO77" i="3" a="1"/>
  <c r="AO77" i="3"/>
  <c r="AN76" i="3"/>
  <c r="AO76" i="3" a="1"/>
  <c r="AO76" i="3"/>
  <c r="AN75" i="3"/>
  <c r="AR75" i="3" a="1"/>
  <c r="AR75" i="3"/>
  <c r="AN71" i="3"/>
  <c r="AO71" i="3" a="1"/>
  <c r="AO71" i="3"/>
  <c r="AN70" i="3"/>
  <c r="AO70" i="3" a="1"/>
  <c r="AO70" i="3"/>
  <c r="AN69" i="3"/>
  <c r="AO69" i="3" a="1"/>
  <c r="AO69" i="3"/>
  <c r="AN68" i="3"/>
  <c r="AO68" i="3" a="1"/>
  <c r="AO68" i="3"/>
  <c r="AR64" i="3" a="1"/>
  <c r="AR64" i="3"/>
  <c r="AO63" i="3" a="1"/>
  <c r="AO63" i="3"/>
  <c r="AN62" i="3"/>
  <c r="AQ62" i="3" a="1"/>
  <c r="AQ62" i="3"/>
  <c r="AN61" i="3"/>
  <c r="AQ61" i="3" a="1"/>
  <c r="AQ61" i="3"/>
  <c r="AN57" i="3"/>
  <c r="AQ57" i="3" a="1"/>
  <c r="AQ57" i="3"/>
  <c r="AN56" i="3"/>
  <c r="AO56" i="3" a="1"/>
  <c r="AO56" i="3"/>
  <c r="AN55" i="3"/>
  <c r="AO55" i="3" a="1"/>
  <c r="AO55" i="3"/>
  <c r="AN54" i="3"/>
  <c r="AO54" i="3" a="1"/>
  <c r="AO54" i="3"/>
  <c r="AN50" i="3"/>
  <c r="AQ50" i="3" a="1"/>
  <c r="AQ50" i="3"/>
  <c r="AN49" i="3"/>
  <c r="AQ49" i="3" a="1"/>
  <c r="AQ49" i="3"/>
  <c r="AN48" i="3"/>
  <c r="AQ48" i="3" a="1"/>
  <c r="AQ48" i="3"/>
  <c r="AN47" i="3"/>
  <c r="AQ47" i="3" a="1"/>
  <c r="AQ47" i="3"/>
  <c r="AN43" i="3"/>
  <c r="AQ43" i="3" a="1"/>
  <c r="AQ43" i="3"/>
  <c r="AN42" i="3"/>
  <c r="AO42" i="3" a="1"/>
  <c r="AO42" i="3"/>
  <c r="AN41" i="3"/>
  <c r="AR41" i="3" a="1"/>
  <c r="AR41" i="3"/>
  <c r="AN40" i="3"/>
  <c r="AR40" i="3" a="1"/>
  <c r="AR40" i="3"/>
  <c r="AN36" i="3"/>
  <c r="AO36" i="3" a="1"/>
  <c r="AO36" i="3"/>
  <c r="AN35" i="3"/>
  <c r="AQ35" i="3" a="1"/>
  <c r="AQ35" i="3"/>
  <c r="AN34" i="3"/>
  <c r="AR34" i="3" a="1"/>
  <c r="AR34" i="3"/>
  <c r="AN33" i="3"/>
  <c r="AO33" i="3" a="1"/>
  <c r="AO33" i="3"/>
  <c r="AN29" i="3"/>
  <c r="AR29" i="3" a="1"/>
  <c r="AR29" i="3"/>
  <c r="AN28" i="3"/>
  <c r="AQ28" i="3" a="1"/>
  <c r="AQ28" i="3"/>
  <c r="AN27" i="3"/>
  <c r="AQ27" i="3" a="1"/>
  <c r="AQ27" i="3"/>
  <c r="AN26" i="3"/>
  <c r="AQ26" i="3" a="1"/>
  <c r="AQ26" i="3"/>
  <c r="AN22" i="3"/>
  <c r="AQ22" i="3" a="1"/>
  <c r="AQ22" i="3"/>
  <c r="AN21" i="3"/>
  <c r="AR21" i="3" a="1"/>
  <c r="AR21" i="3"/>
  <c r="AN20" i="3"/>
  <c r="AO20" i="3" a="1"/>
  <c r="AO20" i="3"/>
  <c r="AN19" i="3"/>
  <c r="AR19" i="3" a="1"/>
  <c r="AR19" i="3"/>
  <c r="AN15" i="3"/>
  <c r="AR15" i="3" a="1"/>
  <c r="AR15" i="3"/>
  <c r="AN14" i="3"/>
  <c r="AO14" i="3" a="1"/>
  <c r="AO14" i="3"/>
  <c r="AN13" i="3"/>
  <c r="AQ13" i="3" a="1"/>
  <c r="AQ13" i="3"/>
  <c r="AN12" i="3"/>
  <c r="AR12" i="3" a="1"/>
  <c r="AR12" i="3"/>
  <c r="AN8" i="3"/>
  <c r="AO8" i="3" a="1"/>
  <c r="AO8" i="3"/>
  <c r="AN7" i="3"/>
  <c r="AQ7" i="3" a="1"/>
  <c r="AQ7" i="3"/>
  <c r="AN6" i="3"/>
  <c r="AR6" i="3" a="1"/>
  <c r="AR6" i="3"/>
  <c r="AN5" i="3"/>
  <c r="AR5" i="3" a="1"/>
  <c r="AR5" i="3"/>
  <c r="AQ20" i="3" a="1"/>
  <c r="AQ20" i="3"/>
  <c r="AR36" i="3" a="1"/>
  <c r="AR36" i="3"/>
  <c r="AR20" i="3" a="1"/>
  <c r="AR20" i="3"/>
  <c r="AP20" i="3"/>
  <c r="AR69" i="3" a="1"/>
  <c r="AR69" i="3"/>
  <c r="AR50" i="3" a="1"/>
  <c r="AR50" i="3"/>
  <c r="AQ78" i="3" a="1"/>
  <c r="AQ78" i="3"/>
  <c r="AR78" i="3" a="1"/>
  <c r="AR78" i="3"/>
  <c r="AP78" i="3"/>
  <c r="AR7" i="3" a="1"/>
  <c r="AR7" i="3"/>
  <c r="AQ69" i="3" a="1"/>
  <c r="AQ69" i="3"/>
  <c r="AP69" i="3"/>
  <c r="AR76" i="3" a="1"/>
  <c r="AR76" i="3"/>
  <c r="AQ76" i="3" a="1"/>
  <c r="AQ76" i="3"/>
  <c r="AR33" i="3" a="1"/>
  <c r="AR33" i="3"/>
  <c r="AQ70" i="3" a="1"/>
  <c r="AQ70" i="3"/>
  <c r="AO5" i="3" a="1"/>
  <c r="AO5" i="3"/>
  <c r="AR54" i="3" a="1"/>
  <c r="AR54" i="3"/>
  <c r="AQ5" i="3" a="1"/>
  <c r="AQ5" i="3"/>
  <c r="AO34" i="3" a="1"/>
  <c r="AO34" i="3"/>
  <c r="AO21" i="3" a="1"/>
  <c r="AO21" i="3"/>
  <c r="AR77" i="3" a="1"/>
  <c r="AR77" i="3"/>
  <c r="AR57" i="3" a="1"/>
  <c r="AR57" i="3"/>
  <c r="AQ54" i="3" a="1"/>
  <c r="AQ54" i="3"/>
  <c r="AR61" i="3" a="1"/>
  <c r="AR61" i="3"/>
  <c r="AQ77" i="3" a="1"/>
  <c r="AQ77" i="3"/>
  <c r="AR13" i="3" a="1"/>
  <c r="AR13" i="3"/>
  <c r="AQ34" i="3" a="1"/>
  <c r="AQ34" i="3"/>
  <c r="AQ71" i="3" a="1"/>
  <c r="AQ71" i="3"/>
  <c r="AR71" i="3" a="1"/>
  <c r="AR71" i="3"/>
  <c r="AP71" i="3"/>
  <c r="AQ68" i="3" a="1"/>
  <c r="AQ68" i="3"/>
  <c r="AQ8" i="3" a="1"/>
  <c r="AQ8" i="3"/>
  <c r="AQ33" i="3" a="1"/>
  <c r="AQ33" i="3"/>
  <c r="AQ55" i="3" a="1"/>
  <c r="AQ55" i="3"/>
  <c r="AO6" i="3" a="1"/>
  <c r="AO6" i="3"/>
  <c r="AQ6" i="3" a="1"/>
  <c r="AQ6" i="3"/>
  <c r="AR26" i="3" a="1"/>
  <c r="AR26" i="3"/>
  <c r="AR35" i="3" a="1"/>
  <c r="AR35" i="3"/>
  <c r="AQ56" i="3" a="1"/>
  <c r="AQ56" i="3"/>
  <c r="AR68" i="3" a="1"/>
  <c r="AR68" i="3"/>
  <c r="AQ75" i="3" a="1"/>
  <c r="AQ75" i="3"/>
  <c r="AO50" i="3" a="1"/>
  <c r="AO50" i="3"/>
  <c r="AP50" i="3"/>
  <c r="AR8" i="3" a="1"/>
  <c r="AR8" i="3"/>
  <c r="AQ21" i="3" a="1"/>
  <c r="AQ21" i="3"/>
  <c r="AR70" i="3" a="1"/>
  <c r="AR70" i="3"/>
  <c r="AR43" i="3" a="1"/>
  <c r="AR43" i="3"/>
  <c r="AR22" i="3" a="1"/>
  <c r="AR22" i="3"/>
  <c r="AR55" i="3" a="1"/>
  <c r="AR55" i="3"/>
  <c r="AQ36" i="3" a="1"/>
  <c r="AQ36" i="3"/>
  <c r="AP36" i="3"/>
  <c r="AR56" i="3" a="1"/>
  <c r="AR56" i="3"/>
  <c r="AO29" i="3" a="1"/>
  <c r="AO29" i="3"/>
  <c r="AO64" i="3" a="1"/>
  <c r="AO64" i="3"/>
  <c r="AO19" i="3" a="1"/>
  <c r="AO19" i="3"/>
  <c r="AQ29" i="3" a="1"/>
  <c r="AQ29" i="3"/>
  <c r="AO49" i="3" a="1"/>
  <c r="AO49" i="3"/>
  <c r="AQ64" i="3" a="1"/>
  <c r="AQ64" i="3"/>
  <c r="AO84" i="3" a="1"/>
  <c r="AO84" i="3"/>
  <c r="AO27" i="3" a="1"/>
  <c r="AO27" i="3"/>
  <c r="AR27" i="3" a="1"/>
  <c r="AR27" i="3"/>
  <c r="AP27" i="3"/>
  <c r="AQ84" i="3" a="1"/>
  <c r="AQ84" i="3"/>
  <c r="AQ14" i="3" a="1"/>
  <c r="AQ14" i="3"/>
  <c r="AQ42" i="3" a="1"/>
  <c r="AQ42" i="3"/>
  <c r="AR49" i="3" a="1"/>
  <c r="AR49" i="3"/>
  <c r="AO7" i="3" a="1"/>
  <c r="AO7" i="3"/>
  <c r="AQ12" i="3" a="1"/>
  <c r="AQ12" i="3"/>
  <c r="AR14" i="3" a="1"/>
  <c r="AR14" i="3"/>
  <c r="AO22" i="3" a="1"/>
  <c r="AO22" i="3"/>
  <c r="AO35" i="3" a="1"/>
  <c r="AO35" i="3"/>
  <c r="AQ40" i="3" a="1"/>
  <c r="AQ40" i="3"/>
  <c r="AR42" i="3" a="1"/>
  <c r="AR42" i="3"/>
  <c r="AR47" i="3" a="1"/>
  <c r="AR47" i="3"/>
  <c r="AO57" i="3" a="1"/>
  <c r="AO57" i="3"/>
  <c r="AP57" i="3"/>
  <c r="AR62" i="3" a="1"/>
  <c r="AR62" i="3"/>
  <c r="AO75" i="3" a="1"/>
  <c r="AO75" i="3"/>
  <c r="AQ82" i="3" a="1"/>
  <c r="AQ82" i="3"/>
  <c r="AQ19" i="3" a="1"/>
  <c r="AQ19" i="3"/>
  <c r="AO47" i="3" a="1"/>
  <c r="AO47" i="3"/>
  <c r="AO62" i="3" a="1"/>
  <c r="AO62" i="3"/>
  <c r="AO12" i="3" a="1"/>
  <c r="AO12" i="3"/>
  <c r="AO40" i="3" a="1"/>
  <c r="AO40" i="3"/>
  <c r="AO82" i="3" a="1"/>
  <c r="AO82" i="3"/>
  <c r="AO15" i="3" a="1"/>
  <c r="AO15" i="3"/>
  <c r="AO13" i="3" a="1"/>
  <c r="AO13" i="3"/>
  <c r="AO41" i="3" a="1"/>
  <c r="AO41" i="3"/>
  <c r="AO43" i="3" a="1"/>
  <c r="AO43" i="3"/>
  <c r="AQ63" i="3" a="1"/>
  <c r="AQ63" i="3"/>
  <c r="AO83" i="3" a="1"/>
  <c r="AO83" i="3"/>
  <c r="AO26" i="3" a="1"/>
  <c r="AO26" i="3"/>
  <c r="AR28" i="3" a="1"/>
  <c r="AR28" i="3"/>
  <c r="AQ41" i="3" a="1"/>
  <c r="AQ41" i="3"/>
  <c r="AR48" i="3" a="1"/>
  <c r="AR48" i="3"/>
  <c r="AO61" i="3" a="1"/>
  <c r="AO61" i="3"/>
  <c r="AR63" i="3" a="1"/>
  <c r="AR63" i="3"/>
  <c r="AQ83" i="3" a="1"/>
  <c r="AQ83" i="3"/>
  <c r="AR85" i="3" a="1"/>
  <c r="AR85" i="3"/>
  <c r="AO28" i="3" a="1"/>
  <c r="AO28" i="3"/>
  <c r="AO48" i="3" a="1"/>
  <c r="AO48" i="3"/>
  <c r="AO85" i="3" a="1"/>
  <c r="AO85" i="3"/>
  <c r="AQ15" i="3" a="1"/>
  <c r="AQ15" i="3"/>
  <c r="AP76" i="3"/>
  <c r="AP41" i="3"/>
  <c r="AP6" i="3"/>
  <c r="AP7" i="3"/>
  <c r="AP61" i="3"/>
  <c r="AP35" i="3"/>
  <c r="AP56" i="3"/>
  <c r="AP70" i="3"/>
  <c r="AP43" i="3"/>
  <c r="AP28" i="3"/>
  <c r="AP22" i="3"/>
  <c r="AP14" i="3"/>
  <c r="AP13" i="3"/>
  <c r="AP5" i="3"/>
  <c r="AP8" i="3"/>
  <c r="AP54" i="3"/>
  <c r="AP55" i="3"/>
  <c r="AP77" i="3"/>
  <c r="AP26" i="3"/>
  <c r="AP33" i="3"/>
  <c r="AP21" i="3"/>
  <c r="AP19" i="3"/>
  <c r="AV8" i="3" a="1"/>
  <c r="AV8" i="3"/>
  <c r="AP68" i="3"/>
  <c r="AP34" i="3"/>
  <c r="AP64" i="3"/>
  <c r="AP85" i="3"/>
  <c r="AP75" i="3"/>
  <c r="G75" i="3" a="1"/>
  <c r="G75" i="3"/>
  <c r="AP83" i="3"/>
  <c r="AP63" i="3"/>
  <c r="AP48" i="3"/>
  <c r="AP42" i="3"/>
  <c r="AP29" i="3"/>
  <c r="AP84" i="3"/>
  <c r="AP15" i="3"/>
  <c r="AP40" i="3"/>
  <c r="AP12" i="3"/>
  <c r="AP49" i="3"/>
  <c r="AP82" i="3"/>
  <c r="AP62" i="3"/>
  <c r="AV14" i="3" a="1"/>
  <c r="AV14" i="3"/>
  <c r="AP47" i="3"/>
  <c r="AV12" i="3" a="1"/>
  <c r="AV12" i="3"/>
  <c r="H57" i="3" a="1"/>
  <c r="H57" i="3"/>
  <c r="G56" i="3" a="1"/>
  <c r="G56" i="3"/>
  <c r="AU13" i="3"/>
  <c r="G54" i="3" a="1"/>
  <c r="G54" i="3"/>
  <c r="K25" i="3"/>
  <c r="P24" i="3"/>
  <c r="G77" i="3" a="1"/>
  <c r="G77" i="3"/>
  <c r="AU16" i="3"/>
  <c r="AV10" i="3" a="1"/>
  <c r="AV10" i="3"/>
  <c r="AV17" i="3" a="1"/>
  <c r="AV17" i="3"/>
  <c r="H19" i="3" a="1"/>
  <c r="H19" i="3"/>
  <c r="AV7" i="3" a="1"/>
  <c r="AV7" i="3"/>
  <c r="H76" i="3" a="1"/>
  <c r="H76" i="3"/>
  <c r="H22" i="3" a="1"/>
  <c r="H22" i="3"/>
  <c r="H21" i="3" a="1"/>
  <c r="H21" i="3"/>
  <c r="AV11" i="3" a="1"/>
  <c r="AV11" i="3"/>
  <c r="G21" i="3" a="1"/>
  <c r="G21" i="3"/>
  <c r="AU8" i="3"/>
  <c r="AV16" i="3" a="1"/>
  <c r="AV16" i="3"/>
  <c r="G22" i="3" a="1"/>
  <c r="G22" i="3"/>
  <c r="AV13" i="3" a="1"/>
  <c r="AV13" i="3"/>
  <c r="AV15" i="3" a="1"/>
  <c r="AV15" i="3"/>
  <c r="H56" i="3" a="1"/>
  <c r="H56" i="3"/>
  <c r="AV9" i="3" a="1"/>
  <c r="AV9" i="3"/>
  <c r="G76" i="3" a="1"/>
  <c r="G76" i="3"/>
  <c r="K21" i="3"/>
  <c r="P23" i="3"/>
  <c r="U27" i="3"/>
  <c r="Z20" i="3"/>
  <c r="AE35" i="3"/>
  <c r="AJ36" i="3"/>
  <c r="H75" i="3" a="1"/>
  <c r="H75" i="3"/>
  <c r="H43" i="3" a="1"/>
  <c r="H43" i="3"/>
  <c r="H41" i="3" a="1"/>
  <c r="H41" i="3"/>
  <c r="G41" i="3" a="1"/>
  <c r="G41" i="3"/>
  <c r="G12" i="3" a="1"/>
  <c r="G12" i="3"/>
  <c r="H77" i="3" a="1"/>
  <c r="H77" i="3"/>
  <c r="H47" i="3" a="1"/>
  <c r="H47" i="3"/>
  <c r="G49" i="3" a="1"/>
  <c r="G49" i="3"/>
  <c r="AU12" i="3"/>
  <c r="H82" i="3" a="1"/>
  <c r="H82" i="3"/>
  <c r="G84" i="3" a="1"/>
  <c r="G84" i="3"/>
  <c r="AU17" i="3"/>
  <c r="G83" i="3" a="1"/>
  <c r="G83" i="3"/>
  <c r="G82" i="3" a="1"/>
  <c r="G82" i="3"/>
  <c r="K49" i="3"/>
  <c r="P48" i="3"/>
  <c r="U44" i="3"/>
  <c r="Z51" i="3"/>
  <c r="AE44" i="3"/>
  <c r="AJ38" i="3"/>
  <c r="H85" i="3" a="1"/>
  <c r="H85" i="3"/>
  <c r="G85" i="3" a="1"/>
  <c r="G85" i="3"/>
  <c r="H83" i="3" a="1"/>
  <c r="H83" i="3"/>
  <c r="H84" i="3" a="1"/>
  <c r="H84" i="3"/>
  <c r="H78" i="3" a="1"/>
  <c r="H78" i="3"/>
  <c r="G78" i="3" a="1"/>
  <c r="G78" i="3"/>
  <c r="G70" i="3" a="1"/>
  <c r="G70" i="3"/>
  <c r="AU15" i="3"/>
  <c r="G69" i="3" a="1"/>
  <c r="G69" i="3"/>
  <c r="K26" i="3"/>
  <c r="G68" i="3" a="1"/>
  <c r="G68" i="3"/>
  <c r="H69" i="3" a="1"/>
  <c r="H69" i="3"/>
  <c r="G71" i="3" a="1"/>
  <c r="G71" i="3"/>
  <c r="H68" i="3" a="1"/>
  <c r="H68" i="3"/>
  <c r="H71" i="3" a="1"/>
  <c r="H71" i="3"/>
  <c r="H70" i="3" a="1"/>
  <c r="H70" i="3"/>
  <c r="G63" i="3" a="1"/>
  <c r="G63" i="3"/>
  <c r="AU14" i="3"/>
  <c r="H62" i="3" a="1"/>
  <c r="H62" i="3"/>
  <c r="G62" i="3" a="1"/>
  <c r="G62" i="3"/>
  <c r="K42" i="3"/>
  <c r="G64" i="3" a="1"/>
  <c r="G64" i="3"/>
  <c r="H61" i="3" a="1"/>
  <c r="H61" i="3"/>
  <c r="G61" i="3" a="1"/>
  <c r="G61" i="3"/>
  <c r="K9" i="3"/>
  <c r="H64" i="3" a="1"/>
  <c r="H64" i="3"/>
  <c r="H63" i="3" a="1"/>
  <c r="H63" i="3"/>
  <c r="G55" i="3" a="1"/>
  <c r="G55" i="3"/>
  <c r="H55" i="3" a="1"/>
  <c r="H55" i="3"/>
  <c r="H54" i="3" a="1"/>
  <c r="H54" i="3"/>
  <c r="G57" i="3" a="1"/>
  <c r="G57" i="3"/>
  <c r="G50" i="3" a="1"/>
  <c r="G50" i="3"/>
  <c r="G47" i="3" a="1"/>
  <c r="G47" i="3"/>
  <c r="K33" i="3"/>
  <c r="G48" i="3" a="1"/>
  <c r="G48" i="3"/>
  <c r="K58" i="3"/>
  <c r="P56" i="3"/>
  <c r="U59" i="3"/>
  <c r="H48" i="3" a="1"/>
  <c r="H48" i="3"/>
  <c r="H50" i="3" a="1"/>
  <c r="H50" i="3"/>
  <c r="H49" i="3" a="1"/>
  <c r="H49" i="3"/>
  <c r="G43" i="3" a="1"/>
  <c r="G43" i="3"/>
  <c r="H42" i="3" a="1"/>
  <c r="H42" i="3"/>
  <c r="H40" i="3" a="1"/>
  <c r="H40" i="3"/>
  <c r="G40" i="3" a="1"/>
  <c r="G40" i="3"/>
  <c r="K17" i="3"/>
  <c r="P16" i="3"/>
  <c r="G42" i="3" a="1"/>
  <c r="G42" i="3"/>
  <c r="AU11" i="3"/>
  <c r="H36" i="3" a="1"/>
  <c r="H36" i="3"/>
  <c r="G35" i="3" a="1"/>
  <c r="G35" i="3"/>
  <c r="AU10" i="3"/>
  <c r="G33" i="3" a="1"/>
  <c r="G33" i="3"/>
  <c r="H33" i="3" a="1"/>
  <c r="H33" i="3"/>
  <c r="G36" i="3" a="1"/>
  <c r="G36" i="3"/>
  <c r="H34" i="3" a="1"/>
  <c r="H34" i="3"/>
  <c r="H35" i="3" a="1"/>
  <c r="H35" i="3"/>
  <c r="G34" i="3" a="1"/>
  <c r="G34" i="3"/>
  <c r="K41" i="3"/>
  <c r="P40" i="3"/>
  <c r="G26" i="3" a="1"/>
  <c r="G26" i="3"/>
  <c r="H29" i="3" a="1"/>
  <c r="H29" i="3"/>
  <c r="G27" i="3" a="1"/>
  <c r="G27" i="3"/>
  <c r="K57" i="3"/>
  <c r="G29" i="3" a="1"/>
  <c r="G29" i="3"/>
  <c r="H28" i="3" a="1"/>
  <c r="H28" i="3"/>
  <c r="H27" i="3" a="1"/>
  <c r="H27" i="3"/>
  <c r="H26" i="3" a="1"/>
  <c r="H26" i="3"/>
  <c r="G28" i="3" a="1"/>
  <c r="G28" i="3"/>
  <c r="AU9" i="3"/>
  <c r="H20" i="3" a="1"/>
  <c r="H20" i="3"/>
  <c r="G19" i="3" a="1"/>
  <c r="G19" i="3"/>
  <c r="K37" i="3"/>
  <c r="G20" i="3" a="1"/>
  <c r="G20" i="3"/>
  <c r="K18" i="3"/>
  <c r="H15" i="3" a="1"/>
  <c r="H15" i="3"/>
  <c r="H12" i="3" a="1"/>
  <c r="H12" i="3"/>
  <c r="H13" i="3" a="1"/>
  <c r="H13" i="3"/>
  <c r="H14" i="3" a="1"/>
  <c r="H14" i="3"/>
  <c r="K5" i="3"/>
  <c r="K29" i="3"/>
  <c r="K53" i="3"/>
  <c r="P55" i="3"/>
  <c r="K65" i="3"/>
  <c r="P64" i="3"/>
  <c r="K38" i="3"/>
  <c r="P39" i="3"/>
  <c r="U43" i="3"/>
  <c r="AV6" i="3" a="1"/>
  <c r="AV6" i="3"/>
  <c r="H5" i="3" a="1"/>
  <c r="H5" i="3"/>
  <c r="G14" i="3" a="1"/>
  <c r="G14" i="3"/>
  <c r="G15" i="3" a="1"/>
  <c r="G15" i="3"/>
  <c r="G13" i="3" a="1"/>
  <c r="G13" i="3"/>
  <c r="G5" i="3" a="1"/>
  <c r="G5" i="3"/>
  <c r="H8" i="3" a="1"/>
  <c r="H8" i="3"/>
  <c r="H6" i="3" a="1"/>
  <c r="H6" i="3"/>
  <c r="G6" i="3" a="1"/>
  <c r="G6" i="3"/>
  <c r="H7" i="3" a="1"/>
  <c r="H7" i="3"/>
  <c r="G8" i="3" a="1"/>
  <c r="G8" i="3"/>
  <c r="G7" i="3" a="1"/>
  <c r="G7" i="3"/>
  <c r="AU6" i="3"/>
  <c r="AW16" i="3"/>
  <c r="AW17" i="3"/>
  <c r="AW13" i="3"/>
  <c r="AW11" i="3"/>
  <c r="AW9" i="3"/>
  <c r="AW10" i="3"/>
  <c r="AW8" i="3"/>
  <c r="AW12" i="3"/>
  <c r="AW14" i="3"/>
  <c r="AW15" i="3"/>
  <c r="AW6" i="3"/>
  <c r="AW7" i="3"/>
  <c r="AU7" i="3"/>
  <c r="K54" i="3"/>
  <c r="K14" i="3"/>
  <c r="K61" i="3"/>
  <c r="K13" i="3"/>
  <c r="P15" i="3"/>
  <c r="U12" i="3"/>
  <c r="K45" i="3"/>
  <c r="AT20" i="3"/>
  <c r="AU24" i="3"/>
  <c r="J62" i="3"/>
  <c r="K62" i="3"/>
  <c r="P63" i="3"/>
  <c r="U60" i="3"/>
  <c r="Z52" i="3"/>
  <c r="AE36" i="3"/>
  <c r="AJ35" i="3"/>
  <c r="K22" i="3"/>
  <c r="AU26" i="3"/>
  <c r="J6" i="3"/>
  <c r="K6" i="3"/>
  <c r="P7" i="3"/>
  <c r="AU28" i="3"/>
  <c r="J10" i="3"/>
  <c r="K10" i="3"/>
  <c r="P8" i="3"/>
  <c r="U11" i="3"/>
  <c r="Z19" i="3"/>
  <c r="AE43" i="3"/>
  <c r="AJ37" i="3"/>
  <c r="AU27" i="3"/>
  <c r="J34" i="3"/>
  <c r="K34" i="3"/>
  <c r="P32" i="3"/>
  <c r="U28" i="3"/>
  <c r="AU30" i="3"/>
  <c r="J50" i="3"/>
  <c r="K50" i="3"/>
  <c r="AU23" i="3"/>
  <c r="J46" i="3"/>
  <c r="K46" i="3"/>
  <c r="P47" i="3"/>
  <c r="AU25" i="3"/>
  <c r="J30" i="3"/>
  <c r="K30" i="3"/>
  <c r="P31" i="3"/>
  <c r="AU29" i="3"/>
  <c r="J66" i="3"/>
  <c r="K66"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<sst xmlns="http://schemas.openxmlformats.org/spreadsheetml/2006/main" count="4801" uniqueCount="671">
  <si>
    <t>1A</t>
  </si>
  <si>
    <t>2A</t>
  </si>
  <si>
    <t>3A</t>
  </si>
  <si>
    <t>4A</t>
  </si>
  <si>
    <t>1B</t>
  </si>
  <si>
    <t>2B</t>
  </si>
  <si>
    <t>3B</t>
  </si>
  <si>
    <t>4B</t>
  </si>
  <si>
    <t>1C</t>
  </si>
  <si>
    <t>2C</t>
  </si>
  <si>
    <t>3C</t>
  </si>
  <si>
    <t>4C</t>
  </si>
  <si>
    <t>1D</t>
  </si>
  <si>
    <t>2D</t>
  </si>
  <si>
    <t>3D</t>
  </si>
  <si>
    <t>4D</t>
  </si>
  <si>
    <t>1E</t>
  </si>
  <si>
    <t>2E</t>
  </si>
  <si>
    <t>3E</t>
  </si>
  <si>
    <t>4E</t>
  </si>
  <si>
    <t>1F</t>
  </si>
  <si>
    <t>2F</t>
  </si>
  <si>
    <t>3F</t>
  </si>
  <si>
    <t>4F</t>
  </si>
  <si>
    <t>Q1</t>
  </si>
  <si>
    <t>Q2</t>
  </si>
  <si>
    <t>Q3</t>
  </si>
  <si>
    <t>Q4</t>
  </si>
  <si>
    <t>Q5</t>
  </si>
  <si>
    <t>Q6</t>
  </si>
  <si>
    <t>Q7</t>
  </si>
  <si>
    <t>Q8</t>
  </si>
  <si>
    <t>S1</t>
  </si>
  <si>
    <t>S2</t>
  </si>
  <si>
    <t>S3</t>
  </si>
  <si>
    <t>S4</t>
  </si>
  <si>
    <t>F1</t>
  </si>
  <si>
    <t>F2</t>
  </si>
  <si>
    <t>CW</t>
  </si>
  <si>
    <t>1°</t>
  </si>
  <si>
    <t>2°</t>
  </si>
  <si>
    <t>1G</t>
  </si>
  <si>
    <t>2G</t>
  </si>
  <si>
    <t>3G</t>
  </si>
  <si>
    <t>4G</t>
  </si>
  <si>
    <t>1H</t>
  </si>
  <si>
    <t>2H</t>
  </si>
  <si>
    <t>3H</t>
  </si>
  <si>
    <t>4H</t>
  </si>
  <si>
    <t>1I</t>
  </si>
  <si>
    <t>2I</t>
  </si>
  <si>
    <t>3I</t>
  </si>
  <si>
    <t>4I</t>
  </si>
  <si>
    <t>1J</t>
  </si>
  <si>
    <t>2J</t>
  </si>
  <si>
    <t>3J</t>
  </si>
  <si>
    <t>4J</t>
  </si>
  <si>
    <t>1K</t>
  </si>
  <si>
    <t>2K</t>
  </si>
  <si>
    <t>3K</t>
  </si>
  <si>
    <t>4K</t>
  </si>
  <si>
    <t>1L</t>
  </si>
  <si>
    <t>2L</t>
  </si>
  <si>
    <t>3L</t>
  </si>
  <si>
    <t>4L</t>
  </si>
  <si>
    <t>T1</t>
  </si>
  <si>
    <t>T2</t>
  </si>
  <si>
    <t>T3</t>
  </si>
  <si>
    <t>T4</t>
  </si>
  <si>
    <t>T5</t>
  </si>
  <si>
    <t>T6</t>
  </si>
  <si>
    <t>T7</t>
  </si>
  <si>
    <t>T8</t>
  </si>
  <si>
    <t>T9</t>
  </si>
  <si>
    <t>T10</t>
  </si>
  <si>
    <t>T11</t>
  </si>
  <si>
    <t>T12</t>
  </si>
  <si>
    <t>T13</t>
  </si>
  <si>
    <t>T14</t>
  </si>
  <si>
    <t>T15</t>
  </si>
  <si>
    <t>T16</t>
  </si>
  <si>
    <t>P1</t>
  </si>
  <si>
    <t>P2</t>
  </si>
  <si>
    <t>TW</t>
  </si>
  <si>
    <t>3°</t>
  </si>
  <si>
    <t>SLOT</t>
  </si>
  <si>
    <t>No.</t>
  </si>
  <si>
    <t>Combo (gruppi qualificati)</t>
  </si>
  <si>
    <t>1A vs</t>
  </si>
  <si>
    <t>1B vs</t>
  </si>
  <si>
    <t>1D vs</t>
  </si>
  <si>
    <t>1E vs</t>
  </si>
  <si>
    <t>1G vs</t>
  </si>
  <si>
    <t>1I vs</t>
  </si>
  <si>
    <t>1K vs</t>
  </si>
  <si>
    <t>1L vs</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</si>
  <si>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</si>
  <si>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</si>
  <si>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</si>
  <si>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</si>
  <si>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</si>
  <si>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</si>
  <si>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</si>
  <si>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</si>
  <si>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</si>
  <si>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</si>
  <si>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</si>
  <si>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</si>
  <si>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</si>
  <si>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</si>
  <si>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</si>
  <si>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</si>
  <si>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</si>
  <si>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</si>
  <si>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</si>
  <si>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</si>
  <si>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</si>
  <si>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</si>
  <si>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</si>
  <si>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</si>
  <si>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</si>
  <si>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</si>
  <si>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</si>
  <si>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</si>
  <si>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</si>
  <si>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</si>
  <si>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</si>
  <si>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</si>
  <si>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</si>
  <si>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</si>
  <si>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</si>
  <si>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</si>
  <si>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</si>
  <si>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</si>
  <si>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</si>
  <si>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</si>
  <si>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</si>
  <si>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</si>
  <si>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</si>
  <si>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</si>
  <si>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</si>
  <si>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</si>
  <si>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</si>
  <si>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</si>
  <si>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</si>
  <si>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</si>
  <si>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</si>
  <si>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</si>
  <si>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</si>
  <si>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</si>
  <si>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</si>
  <si>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</si>
  <si>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</si>
  <si>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</si>
  <si>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</si>
  <si>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</si>
  <si>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</si>
  <si>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</si>
  <si>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</si>
  <si>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</si>
  <si>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</si>
  <si>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</si>
  <si>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</si>
  <si>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</si>
  <si>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</si>
  <si>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</si>
  <si>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</si>
  <si>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</si>
  <si>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</si>
  <si>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</si>
  <si>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</si>
  <si>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</si>
  <si>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</si>
  <si>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</si>
  <si>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</si>
  <si>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</si>
  <si>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</si>
  <si>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</si>
  <si>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</si>
  <si>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</si>
  <si>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</si>
  <si>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</si>
  <si>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</si>
  <si>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</si>
  <si>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</si>
  <si>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</si>
  <si>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</si>
  <si>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</si>
  <si>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</si>
  <si>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</si>
  <si>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</si>
  <si>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</si>
  <si>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</si>
  <si>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</si>
  <si>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</si>
  <si>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</si>
  <si>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</si>
  <si>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</si>
  <si>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</si>
  <si>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</si>
  <si>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</si>
  <si>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</si>
  <si>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</si>
  <si>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</si>
  <si>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</si>
  <si>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</si>
  <si>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</si>
  <si>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</si>
  <si>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</si>
  <si>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</si>
  <si>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</si>
  <si>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</si>
  <si>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</si>
  <si>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</si>
  <si>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</si>
  <si>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</si>
  <si>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</si>
  <si>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</si>
  <si>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</si>
  <si>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</si>
  <si>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</si>
  <si>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</si>
  <si>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</si>
  <si>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</si>
  <si>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</si>
  <si>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</si>
  <si>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</si>
  <si>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</si>
  <si>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</si>
  <si>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</si>
  <si>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</si>
  <si>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</si>
  <si>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</si>
  <si>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</si>
  <si>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</si>
  <si>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</si>
  <si>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</si>
  <si>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</si>
  <si>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</si>
  <si>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</si>
  <si>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</si>
  <si>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</si>
  <si>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</si>
  <si>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</si>
  <si>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</si>
  <si>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</si>
  <si>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</si>
  <si>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</si>
  <si>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</si>
  <si>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</si>
  <si>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</si>
  <si>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</si>
  <si>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</si>
  <si>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</si>
  <si>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</si>
  <si>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</si>
  <si>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</si>
  <si>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</si>
  <si>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</si>
  <si>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</si>
  <si>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</si>
  <si>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</si>
  <si>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</si>
  <si>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</si>
  <si>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</si>
  <si>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</si>
  <si>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</si>
  <si>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</si>
  <si>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</si>
  <si>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</si>
  <si>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</si>
  <si>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</si>
  <si>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</si>
  <si>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</si>
  <si>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</si>
  <si>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</si>
  <si>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</si>
  <si>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</si>
  <si>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</si>
  <si>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</si>
  <si>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</si>
  <si>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</si>
  <si>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</si>
  <si>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</si>
  <si>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</si>
  <si>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</si>
  <si>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</si>
  <si>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</si>
  <si>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</si>
  <si>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</si>
  <si>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</si>
  <si>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</si>
  <si>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</si>
  <si>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</si>
  <si>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</si>
  <si>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</si>
  <si>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</si>
  <si>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</si>
  <si>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</si>
  <si>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</si>
  <si>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</si>
  <si>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</si>
  <si>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</si>
  <si>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</si>
  <si>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</si>
  <si>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</si>
  <si>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</si>
  <si>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</si>
  <si>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</si>
  <si>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</si>
  <si>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</si>
  <si>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</si>
  <si>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</si>
  <si>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</si>
  <si>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</si>
  <si>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</si>
  <si>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</si>
  <si>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</si>
  <si>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</si>
  <si>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</si>
  <si>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</si>
  <si>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</si>
  <si>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</si>
  <si>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</si>
  <si>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</si>
  <si>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</si>
  <si>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</si>
  <si>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</si>
  <si>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</si>
  <si>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</si>
  <si>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</si>
  <si>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</si>
  <si>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</si>
  <si>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</si>
  <si>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</si>
  <si>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</si>
  <si>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</si>
  <si>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</si>
  <si>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</si>
  <si>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</si>
  <si>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</si>
  <si>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</si>
  <si>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</si>
  <si>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</si>
  <si>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</si>
  <si>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</si>
  <si>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</si>
  <si>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</si>
  <si>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</si>
  <si>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</si>
  <si>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</si>
  <si>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</si>
  <si>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</si>
  <si>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</si>
  <si>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</si>
  <si>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</si>
  <si>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</si>
  <si>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</si>
  <si>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</si>
  <si>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</si>
  <si>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</si>
  <si>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</si>
  <si>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</si>
  <si>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</si>
  <si>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</si>
  <si>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</si>
  <si>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</si>
  <si>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</si>
  <si>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</si>
  <si>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</si>
  <si>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</si>
  <si>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</si>
  <si>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</si>
  <si>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</si>
  <si>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</si>
  <si>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</si>
  <si>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</si>
  <si>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</si>
  <si>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</si>
  <si>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</si>
  <si>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</si>
  <si>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</si>
  <si>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</si>
  <si>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</si>
  <si>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</si>
  <si>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</si>
  <si>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</si>
  <si>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</si>
  <si>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</si>
  <si>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</si>
  <si>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</si>
  <si>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</si>
  <si>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</si>
  <si>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</si>
  <si>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</si>
  <si>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</si>
  <si>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</si>
  <si>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</si>
  <si>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</si>
  <si>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</si>
  <si>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</si>
  <si>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</si>
  <si>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</si>
  <si>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</si>
  <si>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</si>
  <si>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</si>
  <si>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</si>
  <si>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</si>
  <si>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</si>
  <si>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</si>
  <si>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</si>
  <si>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</si>
  <si>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</si>
  <si>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</si>
  <si>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</si>
  <si>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</si>
  <si>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</si>
  <si>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</si>
  <si>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</si>
  <si>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</si>
  <si>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</si>
  <si>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</si>
  <si>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</si>
  <si>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</si>
  <si>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</si>
  <si>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</si>
  <si>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</si>
  <si>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</si>
  <si>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</si>
  <si>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</si>
  <si>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</si>
  <si>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</si>
  <si>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</si>
  <si>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</si>
  <si>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</si>
  <si>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</si>
  <si>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</si>
  <si>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</si>
  <si>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</si>
  <si>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</si>
  <si>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</si>
  <si>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</si>
  <si>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</si>
  <si>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</si>
  <si>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</si>
  <si>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</si>
  <si>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</si>
  <si>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</si>
  <si>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</si>
  <si>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</si>
  <si>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</si>
  <si>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</si>
  <si>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</si>
  <si>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</si>
  <si>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</si>
  <si>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</si>
  <si>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</si>
  <si>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</si>
  <si>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</si>
  <si>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</si>
  <si>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</si>
  <si>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</si>
  <si>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</si>
  <si>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</si>
  <si>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</si>
  <si>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</si>
  <si>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</si>
  <si>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</si>
  <si>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</si>
  <si>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</si>
  <si>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</si>
  <si>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</si>
  <si>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</si>
  <si>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</si>
  <si>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</si>
  <si>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</si>
  <si>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</si>
  <si>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</si>
  <si>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</si>
  <si>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</si>
  <si>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</si>
  <si>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</si>
  <si>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</si>
  <si>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</si>
  <si>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</si>
  <si>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</si>
  <si>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</si>
  <si>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</si>
  <si>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</si>
  <si>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</si>
  <si>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</si>
  <si>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</si>
  <si>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</si>
  <si>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</si>
  <si>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</si>
  <si>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</si>
  <si>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</si>
  <si>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</si>
  <si>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</si>
  <si>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</si>
  <si>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</si>
  <si>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</si>
  <si>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</si>
  <si>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</si>
  <si>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</si>
  <si>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</si>
  <si>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</si>
  <si>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</si>
  <si>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</si>
  <si>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</si>
  <si>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</si>
  <si>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</si>
  <si>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</si>
  <si>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</si>
  <si>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</si>
  <si>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</si>
  <si>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</si>
  <si>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</si>
  <si>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</si>
  <si>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</si>
  <si>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</si>
  <si>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</si>
  <si>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</si>
  <si>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</si>
  <si>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</si>
  <si>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</si>
  <si>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</si>
  <si>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</si>
  <si>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</si>
  <si>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</si>
  <si>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</si>
  <si>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</si>
  <si>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</si>
  <si>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</si>
  <si>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</si>
  <si>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</si>
  <si>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</si>
  <si>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</si>
  <si>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</si>
  <si>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</si>
  <si>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</si>
  <si>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</si>
  <si>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</si>
  <si>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</si>
  <si>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</si>
  <si>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</si>
  <si>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</si>
  <si>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</si>
  <si>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</si>
  <si>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</si>
  <si>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</si>
  <si>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</si>
  <si>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</si>
  <si>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</si>
  <si>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</si>
  <si>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</si>
  <si>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</si>
  <si>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</si>
  <si>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</si>
  <si>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</si>
  <si>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</si>
  <si>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</si>
  <si>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</si>
  <si>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</si>
  <si>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</si>
  <si>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</si>
  <si>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</si>
  <si>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</si>
  <si>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</si>
  <si>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</si>
  <si>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</si>
  <si>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</si>
  <si>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</si>
  <si>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</si>
  <si>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</si>
  <si>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</si>
  <si>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</si>
  <si>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</si>
  <si>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</si>
  <si>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</si>
  <si>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</si>
  <si>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</si>
  <si>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</si>
  <si>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</si>
  <si>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</si>
  <si>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</si>
  <si>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</si>
  <si>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</si>
  <si>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</si>
  <si>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</si>
  <si>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</si>
  <si>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QUALIFYING KEY</t>
  </si>
  <si>
    <t>GROUP STAGE</t>
  </si>
  <si>
    <t>ROUND OF 32</t>
  </si>
  <si>
    <t>ROUND OF 16</t>
  </si>
  <si>
    <t>QUARTER-FINALS</t>
  </si>
  <si>
    <t>SEMI-FINALS</t>
  </si>
  <si>
    <t>TOP SCORER</t>
  </si>
  <si>
    <t>GROUP A</t>
  </si>
  <si>
    <t>GROUP B</t>
  </si>
  <si>
    <t>GROUP C</t>
  </si>
  <si>
    <t>GROUP D</t>
  </si>
  <si>
    <t>GROUP E</t>
  </si>
  <si>
    <t>GROUP F</t>
  </si>
  <si>
    <t>GROUP G</t>
  </si>
  <si>
    <t>GROUP H</t>
  </si>
  <si>
    <t>GROUP I</t>
  </si>
  <si>
    <t>GROUP J</t>
  </si>
  <si>
    <t>GROUP K</t>
  </si>
  <si>
    <t>GROUP L</t>
  </si>
  <si>
    <t>3RD ASSIGNED</t>
  </si>
  <si>
    <t>THIRD PLACE FINAL</t>
  </si>
  <si>
    <t>MEXICO</t>
  </si>
  <si>
    <t>SOUTH AFRICA</t>
  </si>
  <si>
    <t>SOUTH KOREA</t>
  </si>
  <si>
    <t>CZECHIA</t>
  </si>
  <si>
    <t>CANADA</t>
  </si>
  <si>
    <t>QATAR</t>
  </si>
  <si>
    <t>SWITZERLAND</t>
  </si>
  <si>
    <t>BRAZIL</t>
  </si>
  <si>
    <t>MOROCCO</t>
  </si>
  <si>
    <t>HAITI</t>
  </si>
  <si>
    <t>SCOTLAND</t>
  </si>
  <si>
    <t>BOSNIA H.</t>
  </si>
  <si>
    <t>GERMANY</t>
  </si>
  <si>
    <t>CURAÇAO</t>
  </si>
  <si>
    <t>IVORY COAST</t>
  </si>
  <si>
    <t>ECUADOR</t>
  </si>
  <si>
    <t>USA</t>
  </si>
  <si>
    <t>AUSTRALIA</t>
  </si>
  <si>
    <t>TURKEY</t>
  </si>
  <si>
    <t>PARAGUAY</t>
  </si>
  <si>
    <t>NETHERLANDS</t>
  </si>
  <si>
    <t>SWEDEN</t>
  </si>
  <si>
    <t>TUNISIA</t>
  </si>
  <si>
    <t>JAPAN</t>
  </si>
  <si>
    <t>BELGIUM</t>
  </si>
  <si>
    <t>IRAN</t>
  </si>
  <si>
    <t>NEW ZEALAND</t>
  </si>
  <si>
    <t>EGYPT</t>
  </si>
  <si>
    <t>SPAIN</t>
  </si>
  <si>
    <t>SAUDI ARABIA</t>
  </si>
  <si>
    <t>URUGUAY</t>
  </si>
  <si>
    <t>CAPO VERDE</t>
  </si>
  <si>
    <t>SENEGAL</t>
  </si>
  <si>
    <t>FRANCE</t>
  </si>
  <si>
    <t>IRAQ</t>
  </si>
  <si>
    <t>NORWAY</t>
  </si>
  <si>
    <t>ARGENTINA</t>
  </si>
  <si>
    <t>ALGERIA</t>
  </si>
  <si>
    <t>AUSTRIA</t>
  </si>
  <si>
    <t>JORDAN</t>
  </si>
  <si>
    <t>PORTUGAL</t>
  </si>
  <si>
    <t>UZBEKISTAN</t>
  </si>
  <si>
    <t>COLOMBIA</t>
  </si>
  <si>
    <t>DR CONGO</t>
  </si>
  <si>
    <t>ENGLAND</t>
  </si>
  <si>
    <t>GHANA</t>
  </si>
  <si>
    <t>PANAMA</t>
  </si>
  <si>
    <t>CROATIA</t>
  </si>
  <si>
    <t>4°</t>
  </si>
  <si>
    <t>FINALS</t>
  </si>
  <si>
    <t>3RD</t>
  </si>
  <si>
    <t>TEAM</t>
  </si>
  <si>
    <t>KEY</t>
  </si>
  <si>
    <t>RANK</t>
  </si>
  <si>
    <t>CLICK TO PAY ADMISSION FEE (10 EUR / 75 DKK)</t>
  </si>
  <si>
    <t>CLICK TO JOIN THE WHATSAPP GROUP</t>
  </si>
  <si>
    <t>CLICK TO SUBMIT THE BRACKET
DEADLINE 11/06 H20:00 CET</t>
  </si>
  <si>
    <t>edoardo bonaffini</t>
  </si>
  <si>
    <t>haaland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</si>
</sst>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family val="2"/>
      <scheme val="minor"/>
    </font>
    <font>
      <u/>
      <sz val="12"/>
      <color theme="10"/>
      <name val="Calibri"/>
      <family val="2"/>
      <scheme val="minor"/>
    </font>
    <font>
      <sz val="12"/>
      <color theme="1"/>
      <name val="Aptos"/>
      <family val="2"/>
    </font>
    <font>
      <sz val="8"/>
      <name val="Calibri"/>
      <family val="2"/>
      <scheme val="minor"/>
    </font>
    <font>
      <sz val="12"/>
      <color theme="0"/>
      <name val="Calibri"/>
      <family val="2"/>
      <scheme val="minor"/>
    </font>
    <font>
      <b/>
      <sz val="30"/>
      <color theme="1"/>
      <name val="Aptos"/>
    </font>
    <font>
      <b/>
      <sz val="20"/>
      <color theme="1"/>
      <name val="Aptos"/>
    </font>
    <font>
      <b/>
      <sz val="30"/>
      <color theme="1"/>
      <name val="Aptos"/>
      <family val="2"/>
    </font>
    <font>
      <b/>
      <sz val="16"/>
      <color theme="1"/>
      <name val="Aptos"/>
      <family val="2"/>
    </font>
    <font>
      <b/>
      <sz val="12"/>
      <color theme="1"/>
      <name val="Aptos"/>
      <family val="2"/>
    </font>
    <font>
      <sz val="10"/>
      <color theme="1"/>
      <name val="Aptos"/>
      <family val="2"/>
    </font>
    <font>
      <b/>
      <sz val="36"/>
      <color theme="1"/>
      <name val="Aptos"/>
      <family val="2"/>
    </font>
    <font>
      <sz val="12"/>
      <color theme="0"/>
      <name val="Aptos"/>
      <family val="2"/>
    </font>
    <font>
      <sz val="12"/>
      <color rgb="FF000000"/>
      <name val="Aptos"/>
      <family val="2"/>
    </font>
  </fonts>
  <fills count="8">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FFFF"/>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82">
    <xf numFmtId="0" fontId="0" fillId="0" borderId="0" xfId="0"/>
    <xf numFmtId="0" fontId="2" fillId="0" borderId="0" xfId="0" applyFont="1"/>
    <xf numFmtId="0" fontId="2" fillId="0" borderId="0" xfId="0" applyFont="1" applyAlignment="1" applyProtection="1">
      <alignment horizontal="center" vertical="center"/>
      <protection hidden="1"/>
    </xf>
    <xf numFmtId="0" fontId="0" fillId="0" borderId="0" xfId="0" applyAlignment="1" applyProtection="1">
      <alignment vertical="center"/>
      <protection hidden="1"/>
    </xf>
    <xf numFmtId="0" fontId="2" fillId="0" borderId="0" xfId="0" applyFont="1" applyAlignment="1" applyProtection="1">
      <alignment vertical="center"/>
      <protection hidden="1"/>
    </xf>
    <xf numFmtId="0" fontId="2" fillId="0" borderId="0" xfId="0" applyFont="1" applyAlignment="1" applyProtection="1">
      <alignment horizontal="center" vertical="center" textRotation="90"/>
      <protection hidden="1"/>
    </xf>
    <xf numFmtId="0" fontId="2" fillId="0" borderId="6" xfId="0" applyFont="1" applyBorder="1" applyAlignment="1" applyProtection="1">
      <alignment horizontal="center" vertical="center"/>
      <protection hidden="1"/>
    </xf>
    <xf numFmtId="0" fontId="2" fillId="0" borderId="9" xfId="0" applyFont="1" applyBorder="1" applyAlignment="1" applyProtection="1">
      <alignment horizontal="center" vertical="center"/>
      <protection hidden="1"/>
    </xf>
    <xf numFmtId="1" fontId="2" fillId="0" borderId="9" xfId="0" applyNumberFormat="1" applyFont="1" applyBorder="1" applyAlignment="1" applyProtection="1">
      <alignment horizontal="center" vertical="center"/>
      <protection locked="0" hidden="1"/>
    </xf>
    <xf numFmtId="0" fontId="2" fillId="5" borderId="11" xfId="0" applyFont="1" applyFill="1" applyBorder="1" applyAlignment="1" applyProtection="1">
      <alignment horizontal="center" vertical="center"/>
      <protection hidden="1"/>
    </xf>
    <xf numFmtId="0" fontId="2" fillId="5" borderId="9" xfId="0" applyFont="1" applyFill="1" applyBorder="1" applyAlignment="1" applyProtection="1">
      <alignment horizontal="center" vertical="center"/>
      <protection hidden="1"/>
    </xf>
    <xf numFmtId="0" fontId="2" fillId="0" borderId="14" xfId="0" applyFont="1" applyBorder="1" applyAlignment="1" applyProtection="1">
      <alignment horizontal="center" vertical="center"/>
      <protection hidden="1"/>
    </xf>
    <xf numFmtId="0" fontId="2" fillId="0" borderId="15" xfId="0" applyFont="1" applyBorder="1" applyAlignment="1" applyProtection="1">
      <alignment horizontal="center" vertical="center"/>
      <protection hidden="1"/>
    </xf>
    <xf numFmtId="0" fontId="2" fillId="0" borderId="11" xfId="0" applyFont="1" applyBorder="1" applyAlignment="1" applyProtection="1">
      <alignment horizontal="center" vertical="center"/>
      <protection hidden="1"/>
    </xf>
    <xf numFmtId="0" fontId="2" fillId="0" borderId="18" xfId="0" applyFont="1" applyBorder="1" applyAlignment="1" applyProtection="1">
      <alignment horizontal="center" vertical="center"/>
      <protection hidden="1"/>
    </xf>
    <xf numFmtId="0" fontId="2" fillId="0" borderId="19" xfId="0" applyFont="1" applyBorder="1" applyAlignment="1" applyProtection="1">
      <alignment horizontal="center" vertical="center"/>
      <protection hidden="1"/>
    </xf>
    <xf numFmtId="0" fontId="2" fillId="6" borderId="11" xfId="0" applyFont="1" applyFill="1" applyBorder="1" applyAlignment="1" applyProtection="1">
      <alignment horizontal="center" vertical="center"/>
      <protection hidden="1"/>
    </xf>
    <xf numFmtId="0" fontId="2" fillId="6" borderId="9" xfId="0" applyFont="1" applyFill="1" applyBorder="1" applyAlignment="1" applyProtection="1">
      <alignment horizontal="center" vertical="center"/>
      <protection hidden="1"/>
    </xf>
    <xf numFmtId="0" fontId="2" fillId="0" borderId="1" xfId="0" applyFont="1" applyBorder="1" applyAlignment="1" applyProtection="1">
      <alignment horizontal="center" vertical="center"/>
      <protection hidden="1"/>
    </xf>
    <xf numFmtId="0" fontId="10" fillId="0" borderId="0" xfId="0" applyFont="1" applyAlignment="1" applyProtection="1">
      <alignment vertical="center" wrapText="1"/>
      <protection hidden="1"/>
    </xf>
    <xf numFmtId="0" fontId="2" fillId="0" borderId="2" xfId="0" applyFont="1" applyBorder="1" applyAlignment="1" applyProtection="1">
      <alignment horizontal="center" vertical="center"/>
      <protection hidden="1"/>
    </xf>
    <xf numFmtId="0" fontId="2" fillId="0" borderId="3" xfId="0" applyFont="1" applyBorder="1" applyAlignment="1" applyProtection="1">
      <alignment horizontal="center" vertical="center"/>
      <protection hidden="1"/>
    </xf>
    <xf numFmtId="0" fontId="2" fillId="0" borderId="10" xfId="0" applyFont="1" applyBorder="1" applyAlignment="1" applyProtection="1">
      <alignment horizontal="center" vertical="center"/>
      <protection hidden="1"/>
    </xf>
    <xf numFmtId="0" fontId="2" fillId="0" borderId="7" xfId="0" applyFont="1" applyBorder="1" applyAlignment="1" applyProtection="1">
      <alignment horizontal="center" vertical="center"/>
      <protection hidden="1"/>
    </xf>
    <xf numFmtId="0" fontId="2" fillId="0" borderId="8" xfId="0" applyFont="1" applyBorder="1" applyAlignment="1" applyProtection="1">
      <alignment horizontal="center" vertical="center"/>
      <protection hidden="1"/>
    </xf>
    <xf numFmtId="0" fontId="2" fillId="5" borderId="13" xfId="0" applyFont="1" applyFill="1" applyBorder="1" applyAlignment="1" applyProtection="1">
      <alignment horizontal="center" vertical="center"/>
      <protection hidden="1"/>
    </xf>
    <xf numFmtId="0" fontId="2" fillId="6" borderId="13" xfId="0" applyFont="1" applyFill="1" applyBorder="1" applyAlignment="1" applyProtection="1">
      <alignment horizontal="center" vertical="center"/>
      <protection hidden="1"/>
    </xf>
    <xf numFmtId="0" fontId="2" fillId="0" borderId="13" xfId="0" applyFont="1" applyBorder="1" applyAlignment="1" applyProtection="1">
      <alignment horizontal="center" vertical="center"/>
      <protection hidden="1"/>
    </xf>
    <xf numFmtId="0" fontId="2" fillId="0" borderId="5" xfId="0" applyFont="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1" fillId="0" borderId="0" xfId="0" applyFont="1" applyAlignment="1" applyProtection="1">
      <alignment vertical="center"/>
      <protection hidden="1"/>
    </xf>
    <xf numFmtId="0" fontId="2" fillId="0" borderId="0" xfId="0" applyFont="1" applyAlignment="1" applyProtection="1">
      <alignment horizontal="center" vertical="center"/>
      <protection locked="0" hidden="1"/>
    </xf>
    <xf numFmtId="0" fontId="0" fillId="0" borderId="0" xfId="0" applyProtection="1">
      <protection locked="0" hidden="1"/>
    </xf>
    <xf numFmtId="0" fontId="0" fillId="0" borderId="0" xfId="0" applyProtection="1">
      <protection hidden="1"/>
    </xf>
    <xf numFmtId="0" fontId="12" fillId="0" borderId="0" xfId="0" applyFont="1" applyAlignment="1" applyProtection="1">
      <alignment vertical="center"/>
      <protection hidden="1"/>
    </xf>
    <xf numFmtId="0" fontId="4" fillId="0" borderId="0" xfId="0" applyFont="1" applyAlignment="1" applyProtection="1">
      <alignment vertical="center"/>
      <protection hidden="1"/>
    </xf>
    <xf numFmtId="0" fontId="12" fillId="0" borderId="0" xfId="0" applyFont="1" applyAlignment="1" applyProtection="1">
      <alignment horizontal="center" vertical="center"/>
      <protection hidden="1"/>
    </xf>
    <xf numFmtId="0" fontId="4" fillId="0" borderId="0" xfId="0" applyFont="1" applyProtection="1">
      <protection hidden="1"/>
    </xf>
    <xf numFmtId="1" fontId="13" fillId="0" borderId="9" xfId="0" applyNumberFormat="1" applyFont="1" applyBorder="1" applyAlignment="1" applyProtection="1">
      <alignment horizontal="center" vertical="center"/>
      <protection locked="0" hidden="1"/>
    </xf>
    <xf numFmtId="1" fontId="13" fillId="0" borderId="13" xfId="0" applyNumberFormat="1" applyFont="1" applyBorder="1" applyAlignment="1" applyProtection="1">
      <alignment horizontal="center" vertical="center"/>
      <protection locked="0" hidden="1"/>
    </xf>
    <xf numFmtId="1" fontId="13" fillId="0" borderId="10" xfId="0" applyNumberFormat="1" applyFont="1" applyBorder="1" applyAlignment="1" applyProtection="1">
      <alignment horizontal="center" vertical="center"/>
      <protection locked="0" hidden="1"/>
    </xf>
    <xf numFmtId="1" fontId="13" fillId="0" borderId="8" xfId="0" applyNumberFormat="1" applyFont="1" applyBorder="1" applyAlignment="1" applyProtection="1">
      <alignment horizontal="center" vertical="center"/>
      <protection locked="0" hidden="1"/>
    </xf>
    <xf numFmtId="0" fontId="6" fillId="3" borderId="1" xfId="1" applyFont="1" applyFill="1" applyBorder="1" applyAlignment="1" applyProtection="1">
      <alignment horizontal="center" vertical="center" wrapText="1"/>
      <protection locked="0" hidden="1"/>
    </xf>
    <xf numFmtId="0" fontId="6" fillId="3" borderId="2" xfId="1" applyFont="1" applyFill="1" applyBorder="1" applyAlignment="1" applyProtection="1">
      <alignment horizontal="center" vertical="center" wrapText="1"/>
      <protection locked="0" hidden="1"/>
    </xf>
    <xf numFmtId="0" fontId="6" fillId="3" borderId="3" xfId="1" applyFont="1" applyFill="1" applyBorder="1" applyAlignment="1" applyProtection="1">
      <alignment horizontal="center" vertical="center" wrapText="1"/>
      <protection locked="0" hidden="1"/>
    </xf>
    <xf numFmtId="0" fontId="6" fillId="3" borderId="4" xfId="1" applyFont="1" applyFill="1" applyBorder="1" applyAlignment="1" applyProtection="1">
      <alignment horizontal="center" vertical="center" wrapText="1"/>
      <protection locked="0" hidden="1"/>
    </xf>
    <xf numFmtId="0" fontId="6" fillId="3" borderId="0" xfId="1" applyFont="1" applyFill="1" applyBorder="1" applyAlignment="1" applyProtection="1">
      <alignment horizontal="center" vertical="center" wrapText="1"/>
      <protection locked="0" hidden="1"/>
    </xf>
    <xf numFmtId="0" fontId="6" fillId="3" borderId="5" xfId="1" applyFont="1" applyFill="1" applyBorder="1" applyAlignment="1" applyProtection="1">
      <alignment horizontal="center" vertical="center" wrapText="1"/>
      <protection locked="0" hidden="1"/>
    </xf>
    <xf numFmtId="0" fontId="6" fillId="3" borderId="6" xfId="1" applyFont="1" applyFill="1" applyBorder="1" applyAlignment="1" applyProtection="1">
      <alignment horizontal="center" vertical="center" wrapText="1"/>
      <protection locked="0" hidden="1"/>
    </xf>
    <xf numFmtId="0" fontId="6" fillId="3" borderId="7" xfId="1" applyFont="1" applyFill="1" applyBorder="1" applyAlignment="1" applyProtection="1">
      <alignment horizontal="center" vertical="center" wrapText="1"/>
      <protection locked="0" hidden="1"/>
    </xf>
    <xf numFmtId="0" fontId="6" fillId="3" borderId="8" xfId="1" applyFont="1" applyFill="1" applyBorder="1" applyAlignment="1" applyProtection="1">
      <alignment horizontal="center" vertical="center" wrapText="1"/>
      <protection locked="0" hidden="1"/>
    </xf>
    <xf numFmtId="0" fontId="5" fillId="3" borderId="1" xfId="1" applyFont="1" applyFill="1" applyBorder="1" applyAlignment="1" applyProtection="1">
      <alignment horizontal="center" vertical="center" wrapText="1"/>
      <protection locked="0" hidden="1"/>
    </xf>
    <xf numFmtId="0" fontId="5" fillId="3" borderId="2" xfId="1" applyFont="1" applyFill="1" applyBorder="1" applyAlignment="1" applyProtection="1">
      <alignment horizontal="center" vertical="center" wrapText="1"/>
      <protection locked="0" hidden="1"/>
    </xf>
    <xf numFmtId="0" fontId="5" fillId="3" borderId="3" xfId="1" applyFont="1" applyFill="1" applyBorder="1" applyAlignment="1" applyProtection="1">
      <alignment horizontal="center" vertical="center" wrapText="1"/>
      <protection locked="0" hidden="1"/>
    </xf>
    <xf numFmtId="0" fontId="5" fillId="3" borderId="4" xfId="1" applyFont="1" applyFill="1" applyBorder="1" applyAlignment="1" applyProtection="1">
      <alignment horizontal="center" vertical="center" wrapText="1"/>
      <protection locked="0" hidden="1"/>
    </xf>
    <xf numFmtId="0" fontId="5" fillId="3" borderId="0" xfId="1" applyFont="1" applyFill="1" applyBorder="1" applyAlignment="1" applyProtection="1">
      <alignment horizontal="center" vertical="center" wrapText="1"/>
      <protection locked="0" hidden="1"/>
    </xf>
    <xf numFmtId="0" fontId="5" fillId="3" borderId="5" xfId="1" applyFont="1" applyFill="1" applyBorder="1" applyAlignment="1" applyProtection="1">
      <alignment horizontal="center" vertical="center" wrapText="1"/>
      <protection locked="0" hidden="1"/>
    </xf>
    <xf numFmtId="0" fontId="5" fillId="3" borderId="6" xfId="1" applyFont="1" applyFill="1" applyBorder="1" applyAlignment="1" applyProtection="1">
      <alignment horizontal="center" vertical="center" wrapText="1"/>
      <protection locked="0" hidden="1"/>
    </xf>
    <xf numFmtId="0" fontId="5" fillId="3" borderId="7" xfId="1" applyFont="1" applyFill="1" applyBorder="1" applyAlignment="1" applyProtection="1">
      <alignment horizontal="center" vertical="center" wrapText="1"/>
      <protection locked="0" hidden="1"/>
    </xf>
    <xf numFmtId="0" fontId="5" fillId="3" borderId="8" xfId="1" applyFont="1" applyFill="1" applyBorder="1" applyAlignment="1" applyProtection="1">
      <alignment horizontal="center" vertical="center" wrapText="1"/>
      <protection locked="0" hidden="1"/>
    </xf>
    <xf numFmtId="0" fontId="2" fillId="0" borderId="16" xfId="0" applyFont="1" applyBorder="1" applyAlignment="1" applyProtection="1">
      <alignment horizontal="center" vertical="center"/>
      <protection locked="0" hidden="1"/>
    </xf>
    <xf numFmtId="0" fontId="2" fillId="0" borderId="20" xfId="0" applyFont="1" applyBorder="1" applyAlignment="1" applyProtection="1">
      <alignment horizontal="center" vertical="center"/>
      <protection locked="0" hidden="1"/>
    </xf>
    <xf numFmtId="0" fontId="2" fillId="0" borderId="17" xfId="0" applyFont="1" applyBorder="1" applyAlignment="1" applyProtection="1">
      <alignment horizontal="center" vertical="center"/>
      <protection hidden="1"/>
    </xf>
    <xf numFmtId="0" fontId="2" fillId="0" borderId="21" xfId="0" applyFont="1" applyBorder="1" applyAlignment="1" applyProtection="1">
      <alignment horizontal="center" vertical="center"/>
      <protection hidden="1"/>
    </xf>
    <xf numFmtId="0" fontId="8" fillId="4" borderId="9" xfId="0" applyFont="1" applyFill="1" applyBorder="1" applyAlignment="1" applyProtection="1">
      <alignment horizontal="center" vertical="center"/>
      <protection hidden="1"/>
    </xf>
    <xf numFmtId="0" fontId="2" fillId="0" borderId="9" xfId="0" applyFont="1" applyBorder="1" applyAlignment="1" applyProtection="1">
      <alignment horizontal="center" vertical="center"/>
      <protection locked="0" hidden="1"/>
    </xf>
    <xf numFmtId="0" fontId="2" fillId="7" borderId="9" xfId="0" applyFont="1" applyFill="1" applyBorder="1" applyAlignment="1" applyProtection="1">
      <alignment horizontal="center" vertical="center"/>
      <protection hidden="1"/>
    </xf>
    <xf numFmtId="0" fontId="9" fillId="2" borderId="11" xfId="0" applyFont="1" applyFill="1" applyBorder="1" applyAlignment="1" applyProtection="1">
      <alignment horizontal="center" vertical="center"/>
      <protection hidden="1"/>
    </xf>
    <xf numFmtId="0" fontId="9" fillId="2" borderId="12" xfId="0" applyFont="1" applyFill="1" applyBorder="1" applyAlignment="1" applyProtection="1">
      <alignment horizontal="center" vertical="center"/>
      <protection hidden="1"/>
    </xf>
    <xf numFmtId="0" fontId="9" fillId="2" borderId="13" xfId="0" applyFont="1" applyFill="1" applyBorder="1" applyAlignment="1" applyProtection="1">
      <alignment horizontal="center" vertical="center"/>
      <protection hidden="1"/>
    </xf>
    <xf numFmtId="0" fontId="8" fillId="4" borderId="1" xfId="0" applyFont="1" applyFill="1" applyBorder="1" applyAlignment="1" applyProtection="1">
      <alignment horizontal="center" vertical="center"/>
      <protection hidden="1"/>
    </xf>
    <xf numFmtId="0" fontId="8" fillId="4" borderId="2" xfId="0" applyFont="1" applyFill="1" applyBorder="1" applyAlignment="1" applyProtection="1">
      <alignment horizontal="center" vertical="center"/>
      <protection hidden="1"/>
    </xf>
    <xf numFmtId="0" fontId="8" fillId="4" borderId="3" xfId="0" applyFont="1" applyFill="1" applyBorder="1" applyAlignment="1" applyProtection="1">
      <alignment horizontal="center" vertical="center"/>
      <protection hidden="1"/>
    </xf>
    <xf numFmtId="0" fontId="8" fillId="4" borderId="6" xfId="0" applyFont="1" applyFill="1" applyBorder="1" applyAlignment="1" applyProtection="1">
      <alignment horizontal="center" vertical="center"/>
      <protection hidden="1"/>
    </xf>
    <xf numFmtId="0" fontId="8" fillId="4" borderId="7" xfId="0" applyFont="1" applyFill="1" applyBorder="1" applyAlignment="1" applyProtection="1">
      <alignment horizontal="center" vertical="center"/>
      <protection hidden="1"/>
    </xf>
    <xf numFmtId="0" fontId="8" fillId="4" borderId="8" xfId="0" applyFont="1" applyFill="1" applyBorder="1" applyAlignment="1" applyProtection="1">
      <alignment horizontal="center" vertical="center"/>
      <protection hidden="1"/>
    </xf>
    <xf numFmtId="0" fontId="7" fillId="0" borderId="1" xfId="1" applyFont="1" applyFill="1" applyBorder="1" applyAlignment="1" applyProtection="1">
      <alignment horizontal="center" vertical="center" wrapText="1"/>
      <protection locked="0" hidden="1"/>
    </xf>
    <xf numFmtId="0" fontId="7" fillId="0" borderId="2" xfId="1" applyFont="1" applyFill="1" applyBorder="1" applyAlignment="1" applyProtection="1">
      <alignment horizontal="center" vertical="center" wrapText="1"/>
      <protection locked="0" hidden="1"/>
    </xf>
    <xf numFmtId="0" fontId="7" fillId="0" borderId="3" xfId="1" applyFont="1" applyFill="1" applyBorder="1" applyAlignment="1" applyProtection="1">
      <alignment horizontal="center" vertical="center" wrapText="1"/>
      <protection locked="0" hidden="1"/>
    </xf>
    <xf numFmtId="0" fontId="7" fillId="0" borderId="6" xfId="1" applyFont="1" applyFill="1" applyBorder="1" applyAlignment="1" applyProtection="1">
      <alignment horizontal="center" vertical="center" wrapText="1"/>
      <protection locked="0" hidden="1"/>
    </xf>
    <xf numFmtId="0" fontId="7" fillId="0" borderId="7" xfId="1" applyFont="1" applyFill="1" applyBorder="1" applyAlignment="1" applyProtection="1">
      <alignment horizontal="center" vertical="center" wrapText="1"/>
      <protection locked="0" hidden="1"/>
    </xf>
    <xf numFmtId="0" fontId="7" fillId="0" borderId="8" xfId="1" applyFont="1" applyFill="1" applyBorder="1" applyAlignment="1" applyProtection="1">
      <alignment horizontal="center" vertical="center" wrapText="1"/>
      <protection locked="0" hidden="1"/>
    </xf>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7" Type="http://schemas.openxmlformats.org/officeDocument/2006/relationships/calcChain" Target="calcChain.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heetMetadata" Target="metadata.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 /></Relationships>
</file>

<file path=xl/webextensions/taskpanes.xml><?xml version="1.0" encoding="utf-8"?>
<wetp:taskpanes xmlns:wetp="http://schemas.microsoft.com/office/webextensions/taskpanes/2010/11">
  <wetp:taskpane dockstate="right" visibility="0" width="38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D39841E-4EA3-4CFF-9BCA-ABACDE59987A}">
  <we:reference id="wa200009404" version="1.0.0.8" store="en-GB" storeType="OMEX"/>
  <we:alternateReferences>
    <we:reference id="WA200009404" version="1.0.0.8" store="" storeType="OMEX"/>
  </we:alternateReferences>
  <we:properties>
    <we:property name="claude.fileId" value="&quot;3a192aab-93d7-4a3e-b462-4eb2af40cdd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hyperlink" Target="https://chat.whatsapp.com/J94ddAvjTE49Ts5esZ2FSh?mode=gi_t" TargetMode="External" /><Relationship Id="rId2" Type="http://schemas.openxmlformats.org/officeDocument/2006/relationships/hyperlink" Target="https://revolut.me/riccardorao" TargetMode="External" /><Relationship Id="rId1" Type="http://schemas.openxmlformats.org/officeDocument/2006/relationships/hyperlink" Target="mailto:riccardo.rao@me.com?subject=FIFAWC2026%20Prediction" TargetMode="Externa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867BA-261A-2F4C-9BDF-9CAED28482A0}">
  <dimension ref="A1:AZ87"/>
  <sheetViews>
    <sheetView showGridLines="0" tabSelected="1" topLeftCell="AE1" zoomScale="57" zoomScaleNormal="100" workbookViewId="0">
      <selection activeCell="AK44" sqref="AK44:AL44"/>
    </sheetView>
  </sheetViews>
  <sheetFormatPr defaultColWidth="10.8515625" defaultRowHeight="20.100000000000001" customHeight="1" x14ac:dyDescent="0.2"/>
  <cols>
    <col min="1" max="1" width="5.79296875" style="2" customWidth="1"/>
    <col min="2" max="3" width="20.83984375" style="2" customWidth="1"/>
    <col min="4" max="5" width="5.79296875" style="2" customWidth="1"/>
    <col min="6" max="6" width="10.8515625" style="2" customWidth="1"/>
    <col min="7" max="7" width="15.78125" style="2" customWidth="1"/>
    <col min="8" max="8" width="5.79296875" style="2" customWidth="1"/>
    <col min="9" max="9" width="10.8515625" style="2" customWidth="1"/>
    <col min="10" max="10" width="5.79296875" style="2" customWidth="1"/>
    <col min="11" max="11" width="20.83984375" style="2" customWidth="1"/>
    <col min="12" max="13" width="5.79296875" style="2" customWidth="1"/>
    <col min="14" max="14" width="10.8515625" style="2" customWidth="1"/>
    <col min="15" max="15" width="5.79296875" style="2" customWidth="1"/>
    <col min="16" max="16" width="20.83984375" style="2" customWidth="1"/>
    <col min="17" max="18" width="5.79296875" style="2" customWidth="1"/>
    <col min="19" max="19" width="10.8515625" style="2" customWidth="1"/>
    <col min="20" max="20" width="5.79296875" style="2" customWidth="1"/>
    <col min="21" max="21" width="20.83984375" style="2" customWidth="1"/>
    <col min="22" max="23" width="5.79296875" style="2" customWidth="1"/>
    <col min="24" max="24" width="10.8515625" style="2" customWidth="1"/>
    <col min="25" max="25" width="5.79296875" style="2" customWidth="1"/>
    <col min="26" max="26" width="20.83984375" style="2" customWidth="1"/>
    <col min="27" max="28" width="5.79296875" style="2" customWidth="1"/>
    <col min="29" max="29" width="10.8515625" style="2" customWidth="1"/>
    <col min="30" max="30" width="5.79296875" style="2" customWidth="1"/>
    <col min="31" max="31" width="20.83984375" style="2" customWidth="1"/>
    <col min="32" max="33" width="5.79296875" style="2" customWidth="1"/>
    <col min="34" max="36" width="10.8515625" style="2" customWidth="1"/>
    <col min="37" max="37" width="10.8515625" style="2"/>
    <col min="38" max="38" width="10.8515625" style="2" customWidth="1"/>
    <col min="39" max="39" width="10.8515625" style="3" customWidth="1"/>
    <col min="40" max="49" width="15.66015625" style="34" customWidth="1"/>
    <col min="50" max="52" width="15.66015625" style="4" customWidth="1"/>
    <col min="53" max="16384" width="10.8515625" style="2"/>
  </cols>
  <sheetData>
    <row r="1" spans="1:52" ht="20.100000000000001" customHeight="1" x14ac:dyDescent="0.2">
      <c r="AW1" s="35"/>
      <c r="AX1" s="3"/>
      <c r="AY1" s="3"/>
      <c r="AZ1" s="3"/>
    </row>
    <row r="2" spans="1:52" ht="20.100000000000001" customHeight="1" x14ac:dyDescent="0.2">
      <c r="B2" s="70" t="s">
        <v>592</v>
      </c>
      <c r="C2" s="71"/>
      <c r="D2" s="71"/>
      <c r="E2" s="71"/>
      <c r="F2" s="71"/>
      <c r="G2" s="71"/>
      <c r="H2" s="72"/>
      <c r="J2" s="64" t="s">
        <v>593</v>
      </c>
      <c r="K2" s="64"/>
      <c r="L2" s="64"/>
      <c r="M2" s="64"/>
      <c r="O2" s="64" t="s">
        <v>594</v>
      </c>
      <c r="P2" s="64"/>
      <c r="Q2" s="64"/>
      <c r="R2" s="64"/>
      <c r="T2" s="64" t="s">
        <v>595</v>
      </c>
      <c r="U2" s="64"/>
      <c r="V2" s="64"/>
      <c r="W2" s="64"/>
      <c r="Y2" s="64" t="s">
        <v>596</v>
      </c>
      <c r="Z2" s="64"/>
      <c r="AA2" s="64"/>
      <c r="AB2" s="64"/>
      <c r="AD2" s="64" t="s">
        <v>661</v>
      </c>
      <c r="AE2" s="64"/>
      <c r="AF2" s="64"/>
      <c r="AG2" s="64"/>
      <c r="AW2" s="35"/>
      <c r="AX2" s="3"/>
      <c r="AY2" s="3"/>
      <c r="AZ2" s="3"/>
    </row>
    <row r="3" spans="1:52" ht="20.100000000000001" customHeight="1" x14ac:dyDescent="0.2">
      <c r="B3" s="73"/>
      <c r="C3" s="74"/>
      <c r="D3" s="74"/>
      <c r="E3" s="74"/>
      <c r="F3" s="74"/>
      <c r="G3" s="74"/>
      <c r="H3" s="75"/>
      <c r="J3" s="64"/>
      <c r="K3" s="64"/>
      <c r="L3" s="64"/>
      <c r="M3" s="64"/>
      <c r="N3" s="4"/>
      <c r="O3" s="64"/>
      <c r="P3" s="64"/>
      <c r="Q3" s="64"/>
      <c r="R3" s="64"/>
      <c r="S3" s="4"/>
      <c r="T3" s="64"/>
      <c r="U3" s="64"/>
      <c r="V3" s="64"/>
      <c r="W3" s="64"/>
      <c r="X3" s="4"/>
      <c r="Y3" s="64"/>
      <c r="Z3" s="64"/>
      <c r="AA3" s="64"/>
      <c r="AB3" s="64"/>
      <c r="AD3" s="64"/>
      <c r="AE3" s="64"/>
      <c r="AF3" s="64"/>
      <c r="AG3" s="64"/>
      <c r="AW3" s="35"/>
      <c r="AX3" s="3"/>
      <c r="AY3" s="3"/>
      <c r="AZ3" s="3"/>
    </row>
    <row r="4" spans="1:52" ht="20.100000000000001" customHeight="1" x14ac:dyDescent="0.2">
      <c r="B4" s="67" t="s">
        <v>598</v>
      </c>
      <c r="C4" s="68"/>
      <c r="D4" s="68"/>
      <c r="E4" s="68"/>
      <c r="F4" s="68"/>
      <c r="G4" s="68"/>
      <c r="H4" s="69"/>
      <c r="J4" s="4"/>
      <c r="K4" s="4"/>
      <c r="L4" s="4"/>
      <c r="M4" s="4"/>
      <c r="N4" s="4"/>
      <c r="O4" s="4"/>
      <c r="P4" s="4"/>
      <c r="Q4" s="4"/>
      <c r="R4" s="4"/>
      <c r="S4" s="4"/>
      <c r="T4" s="4"/>
      <c r="U4" s="4"/>
      <c r="V4" s="4"/>
      <c r="W4" s="4"/>
      <c r="X4" s="4"/>
      <c r="Y4" s="4"/>
      <c r="Z4" s="4"/>
      <c r="AA4" s="4"/>
      <c r="AB4" s="4"/>
      <c r="AW4" s="35"/>
      <c r="AX4" s="3"/>
      <c r="AY4" s="3"/>
      <c r="AZ4" s="3"/>
    </row>
    <row r="5" spans="1:52" ht="20.100000000000001" customHeight="1" x14ac:dyDescent="0.2">
      <c r="A5" s="5"/>
      <c r="B5" s="6" t="s">
        <v>612</v>
      </c>
      <c r="C5" s="7" t="s">
        <v>613</v>
      </c>
      <c r="D5" s="8">
        <v>2</v>
      </c>
      <c r="E5" s="8">
        <v>0</v>
      </c>
      <c r="F5" s="9" t="s">
        <v>0</v>
      </c>
      <c r="G5" s="10" t="str" cm="1">
        <f t="array" ref="G5">IF(SUMPRODUCT((LEN($D$5:$D$10)&gt;0)*(LEN($E$5:$E$10)&gt;0))=0,"",IFERROR(INDEX($AN$5:$AN$8,MATCH(LARGE($AP$5:$AP$8,1),$AP$5:$AP$8,0)),""))</f>
        <v>MEXICO</v>
      </c>
      <c r="H5" s="10" cm="1">
        <f t="array" ref="H5">IF(SUMPRODUCT((LEN($D$5:$D$10)&gt;0)*(LEN($E$5:$E$10)&gt;0))=0,"",IFERROR(INDEX($AO$5:$AO$8,MATCH(LARGE($AP$5:$AP$8,1),$AP$5:$AP$8,0)),""))</f>
        <v>5</v>
      </c>
      <c r="J5" s="11" t="s">
        <v>16</v>
      </c>
      <c r="K5" s="12" t="str">
        <f>_xlfn.XLOOKUP(J5,$F$5:$F$85,$G$5:$G$85, "")</f>
        <v>GERMANY</v>
      </c>
      <c r="L5" s="60">
        <v>1</v>
      </c>
      <c r="M5" s="62" t="s">
        <v>65</v>
      </c>
      <c r="N5" s="4"/>
      <c r="O5" s="4"/>
      <c r="P5" s="4"/>
      <c r="Q5" s="4"/>
      <c r="R5" s="4"/>
      <c r="S5" s="4"/>
      <c r="T5" s="4"/>
      <c r="U5" s="4"/>
      <c r="V5" s="4"/>
      <c r="W5" s="4"/>
      <c r="X5" s="4"/>
      <c r="Y5" s="4"/>
      <c r="Z5" s="4"/>
      <c r="AA5" s="4"/>
      <c r="AB5" s="4"/>
      <c r="AN5" s="34" t="str">
        <f>B5</f>
        <v>MEXICO</v>
      </c>
      <c r="AO5" s="34" cm="1">
        <f t="array" ref="AO5">3*SUMPRODUCT(($B$5:$B$10=AN5)*($D$5:$D$10&gt;$E$5:$E$10))+3*SUMPRODUCT(($C$5:$C$10=AN5)*($E$5:$E$10&gt;$D$5:$D$10))+SUMPRODUCT((($B$5:$B$10=AN5)+($C$5:$C$10=AN5))*($D$5:$D$10=$E$5:$E$10)*(LEN($D$5:$D$10)&gt;0))</f>
        <v>5</v>
      </c>
      <c r="AP5" s="34">
        <f>AO5*1000000+(AQ5-AR5)*1000+AQ5*10-0</f>
        <v>5002050</v>
      </c>
      <c r="AQ5" s="34" cm="1">
        <f t="array" ref="AQ5">SUMPRODUCT(($B$5:$B$10=AN5)*$D$5:$D$10)+SUMPRODUCT(($C$5:$C$10=AN5)*$E$5:$E$10)</f>
        <v>5</v>
      </c>
      <c r="AR5" s="34" cm="1">
        <f t="array" ref="AR5">SUMPRODUCT(($B$5:$B$10=AN5)*$E$5:$E$10)+SUMPRODUCT(($C$5:$C$10=AN5)*$D$5:$D$10)</f>
        <v>3</v>
      </c>
      <c r="AT5" s="36" t="s">
        <v>662</v>
      </c>
      <c r="AU5" s="36" t="s">
        <v>663</v>
      </c>
      <c r="AV5" s="36" t="s">
        <v>664</v>
      </c>
      <c r="AW5" s="36" t="s">
        <v>665</v>
      </c>
      <c r="AX5" s="3"/>
      <c r="AY5" s="3"/>
      <c r="AZ5" s="3"/>
    </row>
    <row r="6" spans="1:52" ht="20.100000000000001" customHeight="1" x14ac:dyDescent="0.2">
      <c r="A6" s="5"/>
      <c r="B6" s="13" t="s">
        <v>614</v>
      </c>
      <c r="C6" s="7" t="s">
        <v>615</v>
      </c>
      <c r="D6" s="8">
        <v>1</v>
      </c>
      <c r="E6" s="8">
        <v>2</v>
      </c>
      <c r="F6" s="9" t="s">
        <v>1</v>
      </c>
      <c r="G6" s="10" t="str" cm="1">
        <f t="array" ref="G6">IF(SUMPRODUCT((LEN($D$5:$D$10)&gt;0)*(LEN($E$5:$E$10)&gt;0))=0,"",IFERROR(INDEX($AN$5:$AN$8,MATCH(LARGE($AP$5:$AP$8,2),$AP$5:$AP$8,0)),""))</f>
        <v>CZECHIA</v>
      </c>
      <c r="H6" s="10" cm="1">
        <f t="array" ref="H6">IF(SUMPRODUCT((LEN($D$5:$D$10)&gt;0)*(LEN($E$5:$E$10)&gt;0))=0,"",IFERROR(INDEX($AO$5:$AO$8,MATCH(LARGE($AP$5:$AP$8,2),$AP$5:$AP$8,0)),""))</f>
        <v>5</v>
      </c>
      <c r="J6" s="14" t="str">
        <f>AU26</f>
        <v>3C</v>
      </c>
      <c r="K6" s="15" t="str">
        <f>_xlfn.XLOOKUP(J6,$F$5:$F$85,$G$5:$G$85, "")</f>
        <v>MOROCCO</v>
      </c>
      <c r="L6" s="61"/>
      <c r="M6" s="63"/>
      <c r="N6" s="4"/>
      <c r="O6" s="4"/>
      <c r="P6" s="4"/>
      <c r="Q6" s="4"/>
      <c r="R6" s="4"/>
      <c r="S6" s="4"/>
      <c r="T6" s="4"/>
      <c r="U6" s="4"/>
      <c r="V6" s="4"/>
      <c r="W6" s="4"/>
      <c r="X6" s="4"/>
      <c r="Y6" s="4"/>
      <c r="Z6" s="4"/>
      <c r="AA6" s="4"/>
      <c r="AB6" s="4"/>
      <c r="AN6" s="34" t="str">
        <f>C5</f>
        <v>SOUTH AFRICA</v>
      </c>
      <c r="AO6" s="34" cm="1">
        <f t="array" ref="AO6">3*SUMPRODUCT(($B$5:$B$10=AN6)*($D$5:$D$10&gt;$E$5:$E$10))+3*SUMPRODUCT(($C$5:$C$10=AN6)*($E$5:$E$10&gt;$D$5:$D$10))+SUMPRODUCT((($B$5:$B$10=AN6)+($C$5:$C$10=AN6))*($D$5:$D$10=$E$5:$E$10)*(LEN($D$5:$D$10)&gt;0))</f>
        <v>1</v>
      </c>
      <c r="AP6" s="34">
        <f>AO6*1000000+(AQ6-AR6)*1000+AQ6*10-1</f>
        <v>997029</v>
      </c>
      <c r="AQ6" s="34" cm="1">
        <f t="array" ref="AQ6">SUMPRODUCT(($B$5:$B$10=AN6)*$D$5:$D$10)+SUMPRODUCT(($C$5:$C$10=AN6)*$E$5:$E$10)</f>
        <v>3</v>
      </c>
      <c r="AR6" s="34" cm="1">
        <f t="array" ref="AR6">SUMPRODUCT(($B$5:$B$10=AN6)*$E$5:$E$10)+SUMPRODUCT(($C$5:$C$10=AN6)*$D$5:$D$10)</f>
        <v>6</v>
      </c>
      <c r="AT6" s="36" t="s">
        <v>2</v>
      </c>
      <c r="AU6" s="36" t="str">
        <f t="shared" ref="AU6:AU17" si="0">_xlfn.XLOOKUP(AT6,$F$5:$F$85,$G$5:$G$85,"")</f>
        <v>SOUTH KOREA</v>
      </c>
      <c r="AV6" s="36" cm="1">
        <f t="array" ref="AV6">IF(SUMPRODUCT((LEN($D$5:$D$10)&gt;0)*(LEN($E$5:$E$10)&gt;0))=0,"",LARGE($AP$5:$AP$8,3)-0)</f>
        <v>4000058</v>
      </c>
      <c r="AW6" s="36">
        <f t="shared" ref="AW6:AW17" si="1">IF(AV6="","",RANK(AV6,$AV$6:$AV$17,0))</f>
        <v>3</v>
      </c>
      <c r="AX6" s="3"/>
      <c r="AY6" s="3"/>
      <c r="AZ6" s="3"/>
    </row>
    <row r="7" spans="1:52" ht="20.100000000000001" customHeight="1" x14ac:dyDescent="0.2">
      <c r="A7" s="5"/>
      <c r="B7" s="13" t="s">
        <v>615</v>
      </c>
      <c r="C7" s="7" t="s">
        <v>613</v>
      </c>
      <c r="D7" s="8">
        <v>1</v>
      </c>
      <c r="E7" s="8">
        <v>1</v>
      </c>
      <c r="F7" s="16" t="s">
        <v>2</v>
      </c>
      <c r="G7" s="17" t="str" cm="1">
        <f t="array" ref="G7">IF(SUMPRODUCT((LEN($D$5:$D$10)&gt;0)*(LEN($E$5:$E$10)&gt;0))=0,"",IFERROR(INDEX($AN$5:$AN$8,MATCH(LARGE($AP$5:$AP$8,3),$AP$5:$AP$8,0)),""))</f>
        <v>SOUTH KOREA</v>
      </c>
      <c r="H7" s="17" cm="1">
        <f t="array" ref="H7">IF(SUMPRODUCT((LEN($D$5:$D$10)&gt;0)*(LEN($E$5:$E$10)&gt;0))=0,"",IFERROR(INDEX($AO$5:$AO$8,MATCH(LARGE($AP$5:$AP$8,3),$AP$5:$AP$8,0)),""))</f>
        <v>4</v>
      </c>
      <c r="J7" s="4"/>
      <c r="K7" s="4"/>
      <c r="L7" s="4"/>
      <c r="M7" s="4"/>
      <c r="N7" s="4"/>
      <c r="O7" s="11" t="s">
        <v>65</v>
      </c>
      <c r="P7" s="12" t="str">
        <f>IF(L5="","",IF(L5=1, K5, K6))</f>
        <v>GERMANY</v>
      </c>
      <c r="Q7" s="60">
        <v>2</v>
      </c>
      <c r="R7" s="62" t="s">
        <v>24</v>
      </c>
      <c r="S7" s="4"/>
      <c r="T7" s="4"/>
      <c r="U7" s="4"/>
      <c r="V7" s="4"/>
      <c r="W7" s="4"/>
      <c r="X7" s="4"/>
      <c r="Y7" s="4"/>
      <c r="Z7" s="4"/>
      <c r="AA7" s="4"/>
      <c r="AB7" s="4"/>
      <c r="AN7" s="34" t="str">
        <f>B6</f>
        <v>SOUTH KOREA</v>
      </c>
      <c r="AO7" s="34" cm="1">
        <f t="array" ref="AO7">3*SUMPRODUCT(($B$5:$B$10=AN7)*($D$5:$D$10&gt;$E$5:$E$10))+3*SUMPRODUCT(($C$5:$C$10=AN7)*($E$5:$E$10&gt;$D$5:$D$10))+SUMPRODUCT((($B$5:$B$10=AN7)+($C$5:$C$10=AN7))*($D$5:$D$10=$E$5:$E$10)*(LEN($D$5:$D$10)&gt;0))</f>
        <v>4</v>
      </c>
      <c r="AP7" s="34">
        <f>AO7*1000000+(AQ7-AR7)*1000+AQ7*10-2</f>
        <v>4000058</v>
      </c>
      <c r="AQ7" s="34" cm="1">
        <f t="array" ref="AQ7">SUMPRODUCT(($B$5:$B$10=AN7)*$D$5:$D$10)+SUMPRODUCT(($C$5:$C$10=AN7)*$E$5:$E$10)</f>
        <v>6</v>
      </c>
      <c r="AR7" s="34" cm="1">
        <f t="array" ref="AR7">SUMPRODUCT(($B$5:$B$10=AN7)*$E$5:$E$10)+SUMPRODUCT(($C$5:$C$10=AN7)*$D$5:$D$10)</f>
        <v>6</v>
      </c>
      <c r="AT7" s="36" t="s">
        <v>6</v>
      </c>
      <c r="AU7" s="36" t="str">
        <f t="shared" si="0"/>
        <v>BOSNIA H.</v>
      </c>
      <c r="AV7" s="36" cm="1">
        <f t="array" ref="AV7">IF(SUMPRODUCT((LEN($D$12:$D$17)&gt;0)*(LEN($E$12:$E$17)&gt;0))=0,"",LARGE($AP$12:$AP$15,3)-1)</f>
        <v>4000028</v>
      </c>
      <c r="AW7" s="36">
        <f t="shared" si="1"/>
        <v>4</v>
      </c>
      <c r="AX7" s="3"/>
      <c r="AY7" s="3"/>
      <c r="AZ7" s="3"/>
    </row>
    <row r="8" spans="1:52" ht="20.100000000000001" customHeight="1" x14ac:dyDescent="0.2">
      <c r="A8" s="5"/>
      <c r="B8" s="13" t="s">
        <v>612</v>
      </c>
      <c r="C8" s="7" t="s">
        <v>614</v>
      </c>
      <c r="D8" s="8">
        <v>2</v>
      </c>
      <c r="E8" s="8">
        <v>2</v>
      </c>
      <c r="F8" s="18" t="s">
        <v>3</v>
      </c>
      <c r="G8" s="7" t="str" cm="1">
        <f t="array" ref="G8">IF(SUMPRODUCT((LEN($D$5:$D$10)&gt;0)*(LEN($E$5:$E$10)&gt;0))=0,"",IFERROR(INDEX($AN$5:$AN$8,MATCH(LARGE($AP$5:$AP$8,4),$AP$5:$AP$8,0)),""))</f>
        <v>SOUTH AFRICA</v>
      </c>
      <c r="H8" s="7" cm="1">
        <f t="array" ref="H8">IF(SUMPRODUCT((LEN($D$5:$D$10)&gt;0)*(LEN($E$5:$E$10)&gt;0))=0,"",IFERROR(INDEX($AO$5:$AO$8,MATCH(LARGE($AP$5:$AP$8,4),$AP$5:$AP$8,0)),""))</f>
        <v>1</v>
      </c>
      <c r="J8" s="4"/>
      <c r="K8" s="4"/>
      <c r="L8" s="4"/>
      <c r="M8" s="4"/>
      <c r="N8" s="4"/>
      <c r="O8" s="14" t="s">
        <v>66</v>
      </c>
      <c r="P8" s="15" t="str">
        <f>IF(L9="","",IF(L9=1, K9, K10))</f>
        <v>FRANCE</v>
      </c>
      <c r="Q8" s="61"/>
      <c r="R8" s="63"/>
      <c r="S8" s="4"/>
      <c r="T8" s="4"/>
      <c r="U8" s="4"/>
      <c r="V8" s="4"/>
      <c r="W8" s="4"/>
      <c r="X8" s="4"/>
      <c r="Y8" s="4"/>
      <c r="Z8" s="4"/>
      <c r="AA8" s="4"/>
      <c r="AB8" s="4"/>
      <c r="AH8" s="19"/>
      <c r="AN8" s="34" t="str">
        <f>C6</f>
        <v>CZECHIA</v>
      </c>
      <c r="AO8" s="34" cm="1">
        <f t="array" ref="AO8">3*SUMPRODUCT(($B$5:$B$10=AN8)*($D$5:$D$10&gt;$E$5:$E$10))+3*SUMPRODUCT(($C$5:$C$10=AN8)*($E$5:$E$10&gt;$D$5:$D$10))+SUMPRODUCT((($B$5:$B$10=AN8)+($C$5:$C$10=AN8))*($D$5:$D$10=$E$5:$E$10)*(LEN($D$5:$D$10)&gt;0))</f>
        <v>5</v>
      </c>
      <c r="AP8" s="34">
        <f>AO8*1000000+(AQ8-AR8)*1000+AQ8*10-3</f>
        <v>5001037</v>
      </c>
      <c r="AQ8" s="34" cm="1">
        <f t="array" ref="AQ8">SUMPRODUCT(($B$5:$B$10=AN8)*$D$5:$D$10)+SUMPRODUCT(($C$5:$C$10=AN8)*$E$5:$E$10)</f>
        <v>4</v>
      </c>
      <c r="AR8" s="34" cm="1">
        <f t="array" ref="AR8">SUMPRODUCT(($B$5:$B$10=AN8)*$E$5:$E$10)+SUMPRODUCT(($C$5:$C$10=AN8)*$D$5:$D$10)</f>
        <v>3</v>
      </c>
      <c r="AT8" s="36" t="s">
        <v>10</v>
      </c>
      <c r="AU8" s="36" t="str">
        <f t="shared" si="0"/>
        <v>MOROCCO</v>
      </c>
      <c r="AV8" s="36" cm="1">
        <f t="array" ref="AV8">IF(SUMPRODUCT((LEN($D$19:$D$24)&gt;0)*(LEN($E$19:$E$24)&gt;0))=0,"",LARGE($AP$19:$AP$22,3)-2)</f>
        <v>4000067</v>
      </c>
      <c r="AW8" s="36">
        <f t="shared" si="1"/>
        <v>2</v>
      </c>
      <c r="AX8" s="3"/>
      <c r="AY8" s="3"/>
      <c r="AZ8" s="3"/>
    </row>
    <row r="9" spans="1:52" ht="20.100000000000001" customHeight="1" x14ac:dyDescent="0.2">
      <c r="A9" s="5"/>
      <c r="B9" s="13" t="s">
        <v>615</v>
      </c>
      <c r="C9" s="7" t="s">
        <v>612</v>
      </c>
      <c r="D9" s="8">
        <v>1</v>
      </c>
      <c r="E9" s="8">
        <v>1</v>
      </c>
      <c r="F9" s="18"/>
      <c r="G9" s="20"/>
      <c r="H9" s="21"/>
      <c r="J9" s="11" t="s">
        <v>49</v>
      </c>
      <c r="K9" s="12" t="str">
        <f>_xlfn.XLOOKUP(J9,$F$5:$F$85,$G$5:$G$85, "")</f>
        <v>FRANCE</v>
      </c>
      <c r="L9" s="60">
        <v>1</v>
      </c>
      <c r="M9" s="62" t="s">
        <v>66</v>
      </c>
      <c r="N9" s="4"/>
      <c r="O9" s="4"/>
      <c r="P9" s="4"/>
      <c r="Q9" s="4"/>
      <c r="R9" s="4"/>
      <c r="S9" s="4"/>
      <c r="T9" s="4"/>
      <c r="U9" s="4"/>
      <c r="V9" s="4"/>
      <c r="W9" s="4"/>
      <c r="X9" s="4"/>
      <c r="Y9" s="4"/>
      <c r="Z9" s="4"/>
      <c r="AA9" s="4"/>
      <c r="AB9" s="4"/>
      <c r="AT9" s="36" t="s">
        <v>14</v>
      </c>
      <c r="AU9" s="36" t="str">
        <f t="shared" si="0"/>
        <v>AUSTRALIA</v>
      </c>
      <c r="AV9" s="36" cm="1">
        <f t="array" ref="AV9">IF(SUMPRODUCT((LEN($D$26:$D$31)&gt;0)*(LEN($E$26:$E$31)&gt;0))=0,"",LARGE($AP$26:$AP$29,3)-3)</f>
        <v>997015</v>
      </c>
      <c r="AW9" s="36">
        <f t="shared" si="1"/>
        <v>10</v>
      </c>
      <c r="AX9" s="3"/>
      <c r="AY9" s="3"/>
      <c r="AZ9" s="3"/>
    </row>
    <row r="10" spans="1:52" ht="20.100000000000001" customHeight="1" x14ac:dyDescent="0.2">
      <c r="A10" s="5"/>
      <c r="B10" s="6" t="s">
        <v>613</v>
      </c>
      <c r="C10" s="22" t="s">
        <v>614</v>
      </c>
      <c r="D10" s="8">
        <v>2</v>
      </c>
      <c r="E10" s="8">
        <v>3</v>
      </c>
      <c r="F10" s="6"/>
      <c r="G10" s="23"/>
      <c r="H10" s="24"/>
      <c r="J10" s="14" t="str">
        <f>AU28</f>
        <v>3G</v>
      </c>
      <c r="K10" s="15" t="str">
        <f>_xlfn.XLOOKUP(J10,$F$5:$F$85,$G$5:$G$85, "")</f>
        <v>IRAN</v>
      </c>
      <c r="L10" s="61"/>
      <c r="M10" s="63"/>
      <c r="N10" s="4"/>
      <c r="O10" s="4"/>
      <c r="P10" s="4"/>
      <c r="Q10" s="4"/>
      <c r="R10" s="4"/>
      <c r="S10" s="4"/>
      <c r="T10" s="4"/>
      <c r="U10" s="4"/>
      <c r="V10" s="4"/>
      <c r="W10" s="4"/>
      <c r="X10" s="4"/>
      <c r="Y10" s="4"/>
      <c r="Z10" s="4"/>
      <c r="AA10" s="4"/>
      <c r="AB10" s="4"/>
      <c r="AT10" s="36" t="s">
        <v>18</v>
      </c>
      <c r="AU10" s="36" t="str">
        <f t="shared" si="0"/>
        <v>IVORY COAST</v>
      </c>
      <c r="AV10" s="36" cm="1">
        <f t="array" ref="AV10">IF(SUMPRODUCT((LEN($D$33:$D$38)&gt;0)*(LEN($E$33:$E$38)&gt;0))=0,"",LARGE($AP$33:$AP$36,3)-4)</f>
        <v>2999034</v>
      </c>
      <c r="AW10" s="36">
        <f t="shared" si="1"/>
        <v>6</v>
      </c>
      <c r="AX10" s="3"/>
      <c r="AY10" s="3"/>
      <c r="AZ10" s="3"/>
    </row>
    <row r="11" spans="1:52" ht="20.100000000000001" customHeight="1" x14ac:dyDescent="0.2">
      <c r="B11" s="67" t="s">
        <v>599</v>
      </c>
      <c r="C11" s="68"/>
      <c r="D11" s="68"/>
      <c r="E11" s="68"/>
      <c r="F11" s="68"/>
      <c r="G11" s="68"/>
      <c r="H11" s="69"/>
      <c r="J11" s="4"/>
      <c r="K11" s="4"/>
      <c r="L11" s="4"/>
      <c r="M11" s="4"/>
      <c r="N11" s="4"/>
      <c r="O11" s="4"/>
      <c r="P11" s="4"/>
      <c r="Q11" s="4"/>
      <c r="R11" s="4"/>
      <c r="S11" s="4"/>
      <c r="T11" s="11" t="s">
        <v>24</v>
      </c>
      <c r="U11" s="12" t="str">
        <f>IF(Q7="","",IF(Q7=1, P7, P8))</f>
        <v>FRANCE</v>
      </c>
      <c r="V11" s="60">
        <v>1</v>
      </c>
      <c r="W11" s="62" t="s">
        <v>32</v>
      </c>
      <c r="X11" s="4"/>
      <c r="Y11" s="4"/>
      <c r="Z11" s="4"/>
      <c r="AA11" s="4"/>
      <c r="AB11" s="4"/>
      <c r="AT11" s="36" t="s">
        <v>22</v>
      </c>
      <c r="AU11" s="36" t="str">
        <f t="shared" si="0"/>
        <v>SWEDEN</v>
      </c>
      <c r="AV11" s="36" cm="1">
        <f t="array" ref="AV11">IF(SUMPRODUCT((LEN($D$40:$D$45)&gt;0)*(LEN($E$40:$E$45)&gt;0))=0,"",LARGE($AP$40:$AP$43,3)-5)</f>
        <v>1998023</v>
      </c>
      <c r="AW11" s="36">
        <f t="shared" si="1"/>
        <v>9</v>
      </c>
      <c r="AX11" s="3"/>
      <c r="AY11" s="3"/>
      <c r="AZ11" s="3"/>
    </row>
    <row r="12" spans="1:52" ht="20.100000000000001" customHeight="1" x14ac:dyDescent="0.2">
      <c r="A12" s="5"/>
      <c r="B12" s="7" t="s">
        <v>616</v>
      </c>
      <c r="C12" s="7" t="s">
        <v>623</v>
      </c>
      <c r="D12" s="8">
        <v>2</v>
      </c>
      <c r="E12" s="8">
        <v>1</v>
      </c>
      <c r="F12" s="25" t="s">
        <v>4</v>
      </c>
      <c r="G12" s="10" t="str" cm="1">
        <f t="array" ref="G12">IF(SUMPRODUCT((LEN($D$12:$D$17)&gt;0)*(LEN($E$12:$E$17)&gt;0))=0,"",IFERROR(INDEX($AN$12:$AN$15,MATCH(LARGE($AP$12:$AP$15,1),$AP$12:$AP$15,0)),""))</f>
        <v>CANADA</v>
      </c>
      <c r="H12" s="10" cm="1">
        <f t="array" ref="H12">IF(SUMPRODUCT((LEN($D$12:$D$17)&gt;0)*(LEN($E$12:$E$17)&gt;0))=0,"",IFERROR(INDEX($AO$12:$AO$15,MATCH(LARGE($AP$12:$AP$15,1),$AP$12:$AP$15,0)),""))</f>
        <v>7</v>
      </c>
      <c r="J12" s="4"/>
      <c r="K12" s="4"/>
      <c r="L12" s="4"/>
      <c r="M12" s="4"/>
      <c r="N12" s="4"/>
      <c r="O12" s="4"/>
      <c r="P12" s="4"/>
      <c r="Q12" s="4"/>
      <c r="R12" s="4"/>
      <c r="S12" s="4"/>
      <c r="T12" s="14" t="s">
        <v>25</v>
      </c>
      <c r="U12" s="15" t="str">
        <f>IF(Q15="","",IF(Q15=1, P15, P16))</f>
        <v>NETHERLANDS</v>
      </c>
      <c r="V12" s="61"/>
      <c r="W12" s="63"/>
      <c r="X12" s="4"/>
      <c r="Y12" s="4"/>
      <c r="Z12" s="4"/>
      <c r="AA12" s="4"/>
      <c r="AB12" s="4"/>
      <c r="AN12" s="34" t="str">
        <f>B12</f>
        <v>CANADA</v>
      </c>
      <c r="AO12" s="34" cm="1">
        <f t="array" ref="AO12">3*SUMPRODUCT(($B$12:$B$17=AN12)*($D$12:$D$17&gt;$E$12:$E$17))+3*SUMPRODUCT(($C$12:$C$17=AN12)*($E$12:$E$17&gt;$D$12:$D$17))+SUMPRODUCT((($B$12:$B$17=AN12)+($C$12:$C$17=AN12))*($D$12:$D$17=$E$12:$E$17)*(LEN($D$12:$D$17)&gt;0))</f>
        <v>7</v>
      </c>
      <c r="AP12" s="34">
        <f>AO12*1000000+(AQ12-AR12)*1000+AQ12*10-0</f>
        <v>7003070</v>
      </c>
      <c r="AQ12" s="34" cm="1">
        <f t="array" ref="AQ12">SUMPRODUCT(($B$12:$B$17=AN12)*$D$12:$D$17)+SUMPRODUCT(($C$12:$C$17=AN12)*$E$12:$E$17)</f>
        <v>7</v>
      </c>
      <c r="AR12" s="34" cm="1">
        <f t="array" ref="AR12">SUMPRODUCT(($B$12:$B$17=AN12)*$E$12:$E$17)+SUMPRODUCT(($C$12:$C$17=AN12)*$D$12:$D$17)</f>
        <v>4</v>
      </c>
      <c r="AT12" s="36" t="s">
        <v>43</v>
      </c>
      <c r="AU12" s="36" t="str">
        <f t="shared" si="0"/>
        <v>IRAN</v>
      </c>
      <c r="AV12" s="36" cm="1">
        <f t="array" ref="AV12">IF(SUMPRODUCT((LEN($D$47:$D$52)&gt;0)*(LEN($E$47:$E$52)&gt;0))=0,"",LARGE($AP$47:$AP$50,3)-6)</f>
        <v>3999002</v>
      </c>
      <c r="AW12" s="36">
        <f t="shared" si="1"/>
        <v>5</v>
      </c>
      <c r="AX12" s="3"/>
      <c r="AY12" s="3"/>
      <c r="AZ12" s="3"/>
    </row>
    <row r="13" spans="1:52" ht="20.100000000000001" customHeight="1" x14ac:dyDescent="0.2">
      <c r="A13" s="5"/>
      <c r="B13" s="7" t="s">
        <v>617</v>
      </c>
      <c r="C13" s="7" t="s">
        <v>618</v>
      </c>
      <c r="D13" s="8">
        <v>0</v>
      </c>
      <c r="E13" s="8">
        <v>3</v>
      </c>
      <c r="F13" s="25" t="s">
        <v>5</v>
      </c>
      <c r="G13" s="10" t="str" cm="1">
        <f t="array" ref="G13">IF(SUMPRODUCT((LEN($D$12:$D$17)&gt;0)*(LEN($E$12:$E$17)&gt;0))=0,"",IFERROR(INDEX($AN$12:$AN$15,MATCH(LARGE($AP$12:$AP$15,2),$AP$12:$AP$15,0)),""))</f>
        <v>SWITZERLAND</v>
      </c>
      <c r="H13" s="10" cm="1">
        <f t="array" ref="H13">IF(SUMPRODUCT((LEN($D$12:$D$17)&gt;0)*(LEN($E$12:$E$17)&gt;0))=0,"",IFERROR(INDEX($AO$12:$AO$15,MATCH(LARGE($AP$12:$AP$15,2),$AP$12:$AP$15,0)),""))</f>
        <v>5</v>
      </c>
      <c r="J13" s="11" t="s">
        <v>1</v>
      </c>
      <c r="K13" s="12" t="str">
        <f>_xlfn.XLOOKUP(J13,$F$5:$F$85,$G$5:$G$85, "")</f>
        <v>CZECHIA</v>
      </c>
      <c r="L13" s="60">
        <v>2</v>
      </c>
      <c r="M13" s="62" t="s">
        <v>67</v>
      </c>
      <c r="N13" s="4"/>
      <c r="O13" s="4"/>
      <c r="P13" s="4"/>
      <c r="Q13" s="4"/>
      <c r="R13" s="4"/>
      <c r="S13" s="4"/>
      <c r="T13" s="4"/>
      <c r="U13" s="4"/>
      <c r="V13" s="4"/>
      <c r="W13" s="4"/>
      <c r="X13" s="4"/>
      <c r="Y13" s="4"/>
      <c r="Z13" s="4"/>
      <c r="AA13" s="4"/>
      <c r="AB13" s="4"/>
      <c r="AN13" s="34" t="str">
        <f>C12</f>
        <v>BOSNIA H.</v>
      </c>
      <c r="AO13" s="34" cm="1">
        <f t="array" ref="AO13">3*SUMPRODUCT(($B$12:$B$17=AN13)*($D$12:$D$17&gt;$E$12:$E$17))+3*SUMPRODUCT(($C$12:$C$17=AN13)*($E$12:$E$17&gt;$D$12:$D$17))+SUMPRODUCT((($B$12:$B$17=AN13)+($C$12:$C$17=AN13))*($D$12:$D$17=$E$12:$E$17)*(LEN($D$12:$D$17)&gt;0))</f>
        <v>4</v>
      </c>
      <c r="AP13" s="34">
        <f>AO13*1000000+(AQ13-AR13)*1000+AQ13*10-1</f>
        <v>4000029</v>
      </c>
      <c r="AQ13" s="34" cm="1">
        <f t="array" ref="AQ13">SUMPRODUCT(($B$12:$B$17=AN13)*$D$12:$D$17)+SUMPRODUCT(($C$12:$C$17=AN13)*$E$12:$E$17)</f>
        <v>3</v>
      </c>
      <c r="AR13" s="34" cm="1">
        <f t="array" ref="AR13">SUMPRODUCT(($B$12:$B$17=AN13)*$E$12:$E$17)+SUMPRODUCT(($C$12:$C$17=AN13)*$D$12:$D$17)</f>
        <v>3</v>
      </c>
      <c r="AT13" s="36" t="s">
        <v>47</v>
      </c>
      <c r="AU13" s="36" t="str">
        <f t="shared" si="0"/>
        <v>SAUDI ARABIA</v>
      </c>
      <c r="AV13" s="36" cm="1">
        <f t="array" ref="AV13">IF(SUMPRODUCT((LEN($D$54:$D$59)&gt;0)*(LEN($E$54:$E$59)&gt;0))=0,"",LARGE($AP$54:$AP$57,3)-7)</f>
        <v>995011</v>
      </c>
      <c r="AW13" s="36">
        <f t="shared" si="1"/>
        <v>12</v>
      </c>
      <c r="AX13" s="3"/>
      <c r="AY13" s="3"/>
      <c r="AZ13" s="3"/>
    </row>
    <row r="14" spans="1:52" ht="20.100000000000001" customHeight="1" x14ac:dyDescent="0.2">
      <c r="A14" s="5"/>
      <c r="B14" s="7" t="s">
        <v>618</v>
      </c>
      <c r="C14" s="7" t="s">
        <v>623</v>
      </c>
      <c r="D14" s="8">
        <v>1</v>
      </c>
      <c r="E14" s="8">
        <v>1</v>
      </c>
      <c r="F14" s="26" t="s">
        <v>6</v>
      </c>
      <c r="G14" s="17" t="str" cm="1">
        <f t="array" ref="G14">IF(SUMPRODUCT((LEN($D$12:$D$17)&gt;0)*(LEN($E$12:$E$17)&gt;0))=0,"",IFERROR(INDEX($AN$12:$AN$15,MATCH(LARGE($AP$12:$AP$15,3),$AP$12:$AP$15,0)),""))</f>
        <v>BOSNIA H.</v>
      </c>
      <c r="H14" s="17" cm="1">
        <f t="array" ref="H14">IF(SUMPRODUCT((LEN($D$12:$D$17)&gt;0)*(LEN($E$12:$E$17)&gt;0))=0,"",IFERROR(INDEX($AO$12:$AO$15,MATCH(LARGE($AP$12:$AP$15,3),$AP$12:$AP$15,0)),""))</f>
        <v>4</v>
      </c>
      <c r="J14" s="14" t="s">
        <v>5</v>
      </c>
      <c r="K14" s="15" t="str">
        <f>_xlfn.XLOOKUP(J14,$F$5:$F$85,$G$5:$G$85, "")</f>
        <v>SWITZERLAND</v>
      </c>
      <c r="L14" s="61"/>
      <c r="M14" s="63"/>
      <c r="N14" s="4"/>
      <c r="O14" s="4"/>
      <c r="P14" s="4"/>
      <c r="Q14" s="4"/>
      <c r="R14" s="4"/>
      <c r="S14" s="4"/>
      <c r="T14" s="4"/>
      <c r="U14" s="4"/>
      <c r="V14" s="4"/>
      <c r="W14" s="4"/>
      <c r="X14" s="4"/>
      <c r="Y14" s="4"/>
      <c r="Z14" s="4"/>
      <c r="AA14" s="4"/>
      <c r="AB14" s="4"/>
      <c r="AN14" s="34" t="str">
        <f>B13</f>
        <v>QATAR</v>
      </c>
      <c r="AO14" s="34" cm="1">
        <f t="array" ref="AO14">3*SUMPRODUCT(($B$12:$B$17=AN14)*($D$12:$D$17&gt;$E$12:$E$17))+3*SUMPRODUCT(($C$12:$C$17=AN14)*($E$12:$E$17&gt;$D$12:$D$17))+SUMPRODUCT((($B$12:$B$17=AN14)+($C$12:$C$17=AN14))*($D$12:$D$17=$E$12:$E$17)*(LEN($D$12:$D$17)&gt;0))</f>
        <v>0</v>
      </c>
      <c r="AP14" s="34">
        <f>AO14*1000000+(AQ14-AR14)*1000+AQ14*10-2</f>
        <v>-5992</v>
      </c>
      <c r="AQ14" s="34" cm="1">
        <f t="array" ref="AQ14">SUMPRODUCT(($B$12:$B$17=AN14)*$D$12:$D$17)+SUMPRODUCT(($C$12:$C$17=AN14)*$E$12:$E$17)</f>
        <v>1</v>
      </c>
      <c r="AR14" s="34" cm="1">
        <f t="array" ref="AR14">SUMPRODUCT(($B$12:$B$17=AN14)*$E$12:$E$17)+SUMPRODUCT(($C$12:$C$17=AN14)*$D$12:$D$17)</f>
        <v>7</v>
      </c>
      <c r="AT14" s="36" t="s">
        <v>51</v>
      </c>
      <c r="AU14" s="36" t="str">
        <f t="shared" si="0"/>
        <v>SENEGAL</v>
      </c>
      <c r="AV14" s="36" cm="1">
        <f t="array" ref="AV14">IF(SUMPRODUCT((LEN($D$61:$D$66)&gt;0)*(LEN($E$61:$E$66)&gt;0))=0,"",LARGE($AP$61:$AP$64,3)-8)</f>
        <v>4001041</v>
      </c>
      <c r="AW14" s="36">
        <f t="shared" si="1"/>
        <v>1</v>
      </c>
      <c r="AX14" s="3"/>
      <c r="AY14" s="3"/>
      <c r="AZ14" s="3"/>
    </row>
    <row r="15" spans="1:52" ht="20.100000000000001" customHeight="1" x14ac:dyDescent="0.2">
      <c r="A15" s="5"/>
      <c r="B15" s="7" t="s">
        <v>616</v>
      </c>
      <c r="C15" s="7" t="s">
        <v>617</v>
      </c>
      <c r="D15" s="8">
        <v>3</v>
      </c>
      <c r="E15" s="8">
        <v>1</v>
      </c>
      <c r="F15" s="27" t="s">
        <v>7</v>
      </c>
      <c r="G15" s="7" t="str" cm="1">
        <f t="array" ref="G15">IF(SUMPRODUCT((LEN($D$12:$D$17)&gt;0)*(LEN($E$12:$E$17)&gt;0))=0,"",IFERROR(INDEX($AN$12:$AN$15,MATCH(LARGE($AP$12:$AP$15,4),$AP$12:$AP$15,0)),""))</f>
        <v>QATAR</v>
      </c>
      <c r="H15" s="7" cm="1">
        <f t="array" ref="H15">IF(SUMPRODUCT((LEN($D$12:$D$17)&gt;0)*(LEN($E$12:$E$17)&gt;0))=0,"",IFERROR(INDEX($AO$12:$AO$15,MATCH(LARGE($AP$12:$AP$15,4),$AP$12:$AP$15,0)),""))</f>
        <v>0</v>
      </c>
      <c r="J15" s="4"/>
      <c r="K15" s="4"/>
      <c r="L15" s="4"/>
      <c r="M15" s="4"/>
      <c r="N15" s="4"/>
      <c r="O15" s="11" t="s">
        <v>67</v>
      </c>
      <c r="P15" s="12" t="str">
        <f>IF(L13="","",IF(L13=1, K13, K14))</f>
        <v>SWITZERLAND</v>
      </c>
      <c r="Q15" s="60">
        <v>2</v>
      </c>
      <c r="R15" s="62" t="s">
        <v>25</v>
      </c>
      <c r="S15" s="4"/>
      <c r="T15" s="4"/>
      <c r="U15" s="4"/>
      <c r="V15" s="4"/>
      <c r="W15" s="4"/>
      <c r="X15" s="4"/>
      <c r="Y15" s="4"/>
      <c r="Z15" s="4"/>
      <c r="AA15" s="4"/>
      <c r="AB15" s="4"/>
      <c r="AN15" s="34" t="str">
        <f>C13</f>
        <v>SWITZERLAND</v>
      </c>
      <c r="AO15" s="34" cm="1">
        <f t="array" ref="AO15">3*SUMPRODUCT(($B$12:$B$17=AN15)*($D$12:$D$17&gt;$E$12:$E$17))+3*SUMPRODUCT(($C$12:$C$17=AN15)*($E$12:$E$17&gt;$D$12:$D$17))+SUMPRODUCT((($B$12:$B$17=AN15)+($C$12:$C$17=AN15))*($D$12:$D$17=$E$12:$E$17)*(LEN($D$12:$D$17)&gt;0))</f>
        <v>5</v>
      </c>
      <c r="AP15" s="34">
        <f>AO15*1000000+(AQ15-AR15)*1000+AQ15*10-3</f>
        <v>5003057</v>
      </c>
      <c r="AQ15" s="34" cm="1">
        <f t="array" ref="AQ15">SUMPRODUCT(($B$12:$B$17=AN15)*$D$12:$D$17)+SUMPRODUCT(($C$12:$C$17=AN15)*$E$12:$E$17)</f>
        <v>6</v>
      </c>
      <c r="AR15" s="34" cm="1">
        <f t="array" ref="AR15">SUMPRODUCT(($B$12:$B$17=AN15)*$E$12:$E$17)+SUMPRODUCT(($C$12:$C$17=AN15)*$D$12:$D$17)</f>
        <v>3</v>
      </c>
      <c r="AT15" s="36" t="s">
        <v>55</v>
      </c>
      <c r="AU15" s="36" t="str">
        <f t="shared" si="0"/>
        <v>AUSTRIA</v>
      </c>
      <c r="AV15" s="36" cm="1">
        <f t="array" ref="AV15">IF(SUMPRODUCT((LEN($D$68:$D$73)&gt;0)*(LEN($E$68:$E$73)&gt;0))=0,"",LARGE($AP$68:$AP$71,3)-9)</f>
        <v>1999009</v>
      </c>
      <c r="AW15" s="36">
        <f t="shared" si="1"/>
        <v>8</v>
      </c>
      <c r="AX15" s="3"/>
      <c r="AY15" s="3"/>
      <c r="AZ15" s="3"/>
    </row>
    <row r="16" spans="1:52" ht="20.100000000000001" customHeight="1" x14ac:dyDescent="0.2">
      <c r="A16" s="5"/>
      <c r="B16" s="7" t="s">
        <v>618</v>
      </c>
      <c r="C16" s="7" t="s">
        <v>616</v>
      </c>
      <c r="D16" s="8">
        <v>2</v>
      </c>
      <c r="E16" s="8">
        <v>2</v>
      </c>
      <c r="H16" s="28"/>
      <c r="J16" s="4"/>
      <c r="K16" s="4"/>
      <c r="L16" s="4"/>
      <c r="M16" s="4"/>
      <c r="N16" s="4"/>
      <c r="O16" s="14" t="s">
        <v>68</v>
      </c>
      <c r="P16" s="15" t="str">
        <f>IF(L17="","",IF(L17=1, K17, K18))</f>
        <v>NETHERLANDS</v>
      </c>
      <c r="Q16" s="61"/>
      <c r="R16" s="63"/>
      <c r="S16" s="4"/>
      <c r="T16" s="4"/>
      <c r="U16" s="4"/>
      <c r="V16" s="4"/>
      <c r="W16" s="4"/>
      <c r="X16" s="4"/>
      <c r="Y16" s="4"/>
      <c r="Z16" s="4"/>
      <c r="AA16" s="4"/>
      <c r="AB16" s="4"/>
      <c r="AT16" s="36" t="s">
        <v>59</v>
      </c>
      <c r="AU16" s="36" t="str">
        <f t="shared" si="0"/>
        <v>DR CONGO</v>
      </c>
      <c r="AV16" s="36" cm="1">
        <f t="array" ref="AV16">IF(SUMPRODUCT((LEN($D$75:$D$80)&gt;0)*(LEN($E$75:$E$80)&gt;0))=0,"",LARGE($AP$75:$AP$78,3)-10)</f>
        <v>2998019</v>
      </c>
      <c r="AW16" s="36">
        <f t="shared" si="1"/>
        <v>7</v>
      </c>
      <c r="AX16" s="3"/>
      <c r="AY16" s="3"/>
      <c r="AZ16" s="3"/>
    </row>
    <row r="17" spans="1:52" ht="20.100000000000001" customHeight="1" x14ac:dyDescent="0.2">
      <c r="A17" s="5"/>
      <c r="B17" s="7" t="s">
        <v>623</v>
      </c>
      <c r="C17" s="7" t="s">
        <v>617</v>
      </c>
      <c r="D17" s="8">
        <v>1</v>
      </c>
      <c r="E17" s="8">
        <v>0</v>
      </c>
      <c r="F17" s="23"/>
      <c r="G17" s="23"/>
      <c r="H17" s="24"/>
      <c r="J17" s="11" t="s">
        <v>20</v>
      </c>
      <c r="K17" s="12" t="str">
        <f>_xlfn.XLOOKUP(J17,$F$5:$F$85,$G$5:$G$85, "")</f>
        <v>NETHERLANDS</v>
      </c>
      <c r="L17" s="60">
        <v>1</v>
      </c>
      <c r="M17" s="62" t="s">
        <v>68</v>
      </c>
      <c r="N17" s="4"/>
      <c r="O17" s="4"/>
      <c r="P17" s="4"/>
      <c r="Q17" s="4"/>
      <c r="R17" s="4"/>
      <c r="S17" s="4"/>
      <c r="T17" s="4"/>
      <c r="U17" s="4"/>
      <c r="V17" s="4"/>
      <c r="W17" s="4"/>
      <c r="X17" s="4"/>
      <c r="Y17" s="4"/>
      <c r="Z17" s="4"/>
      <c r="AA17" s="4"/>
      <c r="AB17" s="4"/>
      <c r="AT17" s="36" t="s">
        <v>63</v>
      </c>
      <c r="AU17" s="36" t="str">
        <f t="shared" si="0"/>
        <v>GHANA</v>
      </c>
      <c r="AV17" s="36" cm="1">
        <f t="array" ref="AV17">IF(SUMPRODUCT((LEN($D$82:$D$87)&gt;0)*(LEN($E$82:$E$87)&gt;0))=0,"",LARGE($AP$82:$AP$85,3)-11)</f>
        <v>997007</v>
      </c>
      <c r="AW17" s="36">
        <f t="shared" si="1"/>
        <v>11</v>
      </c>
      <c r="AX17" s="3"/>
      <c r="AY17" s="3"/>
      <c r="AZ17" s="3"/>
    </row>
    <row r="18" spans="1:52" ht="20.100000000000001" customHeight="1" x14ac:dyDescent="0.2">
      <c r="B18" s="67" t="s">
        <v>600</v>
      </c>
      <c r="C18" s="68"/>
      <c r="D18" s="68"/>
      <c r="E18" s="68"/>
      <c r="F18" s="68"/>
      <c r="G18" s="68"/>
      <c r="H18" s="69"/>
      <c r="J18" s="14" t="s">
        <v>9</v>
      </c>
      <c r="K18" s="15" t="str">
        <f>_xlfn.XLOOKUP(J18,$F$5:$F$85,$G$5:$G$85, "")</f>
        <v>SCOTLAND</v>
      </c>
      <c r="L18" s="61"/>
      <c r="M18" s="63"/>
      <c r="N18" s="4"/>
      <c r="O18" s="4"/>
      <c r="P18" s="4"/>
      <c r="Q18" s="4"/>
      <c r="R18" s="4"/>
      <c r="S18" s="4"/>
      <c r="T18" s="4"/>
      <c r="U18" s="4"/>
      <c r="V18" s="4"/>
      <c r="W18" s="4"/>
      <c r="X18" s="4"/>
      <c r="Y18" s="4"/>
      <c r="Z18" s="4"/>
      <c r="AA18" s="4"/>
      <c r="AB18" s="4"/>
      <c r="AT18" s="36"/>
      <c r="AU18" s="36"/>
      <c r="AW18" s="35"/>
      <c r="AX18" s="3"/>
      <c r="AY18" s="3"/>
      <c r="AZ18" s="3"/>
    </row>
    <row r="19" spans="1:52" ht="20.100000000000001" customHeight="1" x14ac:dyDescent="0.2">
      <c r="A19" s="5"/>
      <c r="B19" s="7" t="s">
        <v>619</v>
      </c>
      <c r="C19" s="7" t="s">
        <v>620</v>
      </c>
      <c r="D19" s="8">
        <v>4</v>
      </c>
      <c r="E19" s="8">
        <v>2</v>
      </c>
      <c r="F19" s="25" t="s">
        <v>8</v>
      </c>
      <c r="G19" s="10" t="str" cm="1">
        <f t="array" ref="G19">IF(SUMPRODUCT((LEN($D$19:$D$24)&gt;0)*(LEN($E$19:$E$24)&gt;0))=0,"",IFERROR(INDEX($AN$19:$AN$22,MATCH(LARGE($AP$19:$AP$22,1),$AP$19:$AP$22,0)),""))</f>
        <v>BRAZIL</v>
      </c>
      <c r="H19" s="10" cm="1">
        <f t="array" ref="H19">IF(SUMPRODUCT((LEN($D$19:$D$24)&gt;0)*(LEN($E$19:$E$24)&gt;0))=0,"",IFERROR(INDEX($AO$19:$AO$22,MATCH(LARGE($AP$19:$AP$22,1),$AP$19:$AP$22,0)),""))</f>
        <v>9</v>
      </c>
      <c r="J19" s="4"/>
      <c r="K19" s="4"/>
      <c r="L19" s="4"/>
      <c r="M19" s="4"/>
      <c r="N19" s="4"/>
      <c r="O19" s="4"/>
      <c r="P19" s="4"/>
      <c r="Q19" s="4"/>
      <c r="R19" s="4"/>
      <c r="S19" s="4"/>
      <c r="T19" s="4"/>
      <c r="U19" s="4"/>
      <c r="V19" s="4"/>
      <c r="W19" s="4"/>
      <c r="X19" s="4"/>
      <c r="Y19" s="11" t="s">
        <v>32</v>
      </c>
      <c r="Z19" s="12" t="str">
        <f>IF(V11="","",IF(V11=1, U11, U12))</f>
        <v>FRANCE</v>
      </c>
      <c r="AA19" s="60">
        <v>1</v>
      </c>
      <c r="AB19" s="62" t="s">
        <v>36</v>
      </c>
      <c r="AN19" s="34" t="str">
        <f>B19</f>
        <v>BRAZIL</v>
      </c>
      <c r="AO19" s="34" cm="1">
        <f t="array" ref="AO19">3*SUMPRODUCT(($B$19:$B$24=AN19)*($D$19:$D$24&gt;$E$19:$E$24))+3*SUMPRODUCT(($C$19:$C$24=AN19)*($E$19:$E$24&gt;$D$19:$D$24))+SUMPRODUCT((($B$19:$B$24=AN19)+($C$19:$C$24=AN19))*($D$19:$D$24=$E$19:$E$24)*(LEN($D$19:$D$24)&gt;0))</f>
        <v>9</v>
      </c>
      <c r="AP19" s="34">
        <f>AO19*1000000+(AQ19-AR19)*1000+AQ19*10-0</f>
        <v>9006090</v>
      </c>
      <c r="AQ19" s="34" cm="1">
        <f t="array" ref="AQ19">SUMPRODUCT(($B$19:$B$24=AN19)*$D$19:$D$24)+SUMPRODUCT(($C$19:$C$24=AN19)*$E$19:$E$24)</f>
        <v>9</v>
      </c>
      <c r="AR19" s="34" cm="1">
        <f t="array" ref="AR19">SUMPRODUCT(($B$19:$B$24=AN19)*$E$19:$E$24)+SUMPRODUCT(($C$19:$C$24=AN19)*$D$19:$D$24)</f>
        <v>3</v>
      </c>
      <c r="AT19" s="34" t="s">
        <v>591</v>
      </c>
      <c r="AW19" s="35"/>
      <c r="AX19" s="3"/>
      <c r="AY19" s="3"/>
      <c r="AZ19" s="3"/>
    </row>
    <row r="20" spans="1:52" ht="20.100000000000001" customHeight="1" x14ac:dyDescent="0.2">
      <c r="A20" s="5"/>
      <c r="B20" s="7" t="s">
        <v>621</v>
      </c>
      <c r="C20" s="7" t="s">
        <v>622</v>
      </c>
      <c r="D20" s="8">
        <v>0</v>
      </c>
      <c r="E20" s="8">
        <v>2</v>
      </c>
      <c r="F20" s="25" t="s">
        <v>9</v>
      </c>
      <c r="G20" s="10" t="str" cm="1">
        <f t="array" ref="G20">IF(SUMPRODUCT((LEN($D$19:$D$24)&gt;0)*(LEN($E$19:$E$24)&gt;0))=0,"",IFERROR(INDEX($AN$19:$AN$22,MATCH(LARGE($AP$19:$AP$22,2),$AP$19:$AP$22,0)),""))</f>
        <v>SCOTLAND</v>
      </c>
      <c r="H20" s="10" cm="1">
        <f t="array" ref="H20">IF(SUMPRODUCT((LEN($D$19:$D$24)&gt;0)*(LEN($E$19:$E$24)&gt;0))=0,"",IFERROR(INDEX($AO$19:$AO$22,MATCH(LARGE($AP$19:$AP$22,2),$AP$19:$AP$22,0)),""))</f>
        <v>4</v>
      </c>
      <c r="J20" s="4"/>
      <c r="K20" s="4"/>
      <c r="L20" s="4"/>
      <c r="M20" s="4"/>
      <c r="N20" s="4"/>
      <c r="O20" s="4"/>
      <c r="P20" s="4"/>
      <c r="Q20" s="4"/>
      <c r="R20" s="4"/>
      <c r="S20" s="4"/>
      <c r="T20" s="4"/>
      <c r="U20" s="4"/>
      <c r="V20" s="4"/>
      <c r="W20" s="4"/>
      <c r="X20" s="4"/>
      <c r="Y20" s="14" t="s">
        <v>33</v>
      </c>
      <c r="Z20" s="15" t="str">
        <f>IF(V27="","",IF(V27=1, U27, U28))</f>
        <v>SPAIN</v>
      </c>
      <c r="AA20" s="61"/>
      <c r="AB20" s="63"/>
      <c r="AN20" s="34" t="str">
        <f>C19</f>
        <v>MOROCCO</v>
      </c>
      <c r="AO20" s="34" cm="1">
        <f t="array" ref="AO20">3*SUMPRODUCT(($B$19:$B$24=AN20)*($D$19:$D$24&gt;$E$19:$E$24))+3*SUMPRODUCT(($C$19:$C$24=AN20)*($E$19:$E$24&gt;$D$19:$D$24))+SUMPRODUCT((($B$19:$B$24=AN20)+($C$19:$C$24=AN20))*($D$19:$D$24=$E$19:$E$24)*(LEN($D$19:$D$24)&gt;0))</f>
        <v>4</v>
      </c>
      <c r="AP20" s="34">
        <f>AO20*1000000+(AQ20-AR20)*1000+AQ20*10-1</f>
        <v>4000069</v>
      </c>
      <c r="AQ20" s="34" cm="1">
        <f t="array" ref="AQ20">SUMPRODUCT(($B$19:$B$24=AN20)*$D$19:$D$24)+SUMPRODUCT(($C$19:$C$24=AN20)*$E$19:$E$24)</f>
        <v>7</v>
      </c>
      <c r="AR20" s="34" cm="1">
        <f t="array" ref="AR20">SUMPRODUCT(($B$19:$B$24=AN20)*$E$19:$E$24)+SUMPRODUCT(($C$19:$C$24=AN20)*$D$19:$D$24)</f>
        <v>7</v>
      </c>
      <c r="AT20" s="34" t="str">
        <f>IF(COUNT($AW$6:$AW$17)&lt;12,"",_xlfn.TEXTJOIN("",TRUE,IF(N($AW6)&gt;0,IF($AW6&lt;=8,"A",""),""),IF(N($AW7)&gt;0,IF($AW7&lt;=8,"B",""),""),IF(N($AW8)&gt;0,IF($AW8&lt;=8,"C",""),""),IF(N($AW9)&gt;0,IF($AW9&lt;=8,"D",""),""),IF(N($AW10)&gt;0,IF($AW10&lt;=8,"E",""),""),IF(N($AW11)&gt;0,IF($AW11&lt;=8,"F",""),""),IF(N($AW12)&gt;0,IF($AW12&lt;=8,"G",""),""),IF(N($AW13)&gt;0,IF($AW13&lt;=8,"H",""),""),IF(N($AW14)&gt;0,IF($AW14&lt;=8,"I",""),""),IF(N($AW15)&gt;0,IF($AW15&lt;=8,"J",""),""),IF(N($AW16)&gt;0,IF($AW16&lt;=8,"K",""),""),IF(N($AW17)&gt;0,IF($AW17&lt;=8,"L",""),"")))</f>
        <v>ABCEGIJK</v>
      </c>
      <c r="AW20" s="35"/>
      <c r="AX20" s="3"/>
      <c r="AY20" s="3"/>
      <c r="AZ20" s="3"/>
    </row>
    <row r="21" spans="1:52" ht="20.100000000000001" customHeight="1" x14ac:dyDescent="0.2">
      <c r="A21" s="5"/>
      <c r="B21" s="7" t="s">
        <v>622</v>
      </c>
      <c r="C21" s="7" t="s">
        <v>620</v>
      </c>
      <c r="D21" s="8">
        <v>2</v>
      </c>
      <c r="E21" s="8">
        <v>2</v>
      </c>
      <c r="F21" s="26" t="s">
        <v>10</v>
      </c>
      <c r="G21" s="17" t="str" cm="1">
        <f t="array" ref="G21">IF(SUMPRODUCT((LEN($D$19:$D$24)&gt;0)*(LEN($E$19:$E$24)&gt;0))=0,"",IFERROR(INDEX($AN$19:$AN$22,MATCH(LARGE($AP$19:$AP$22,3),$AP$19:$AP$22,0)),""))</f>
        <v>MOROCCO</v>
      </c>
      <c r="H21" s="17" cm="1">
        <f t="array" ref="H21">IF(SUMPRODUCT((LEN($D$19:$D$24)&gt;0)*(LEN($E$19:$E$24)&gt;0))=0,"",IFERROR(INDEX($AO$19:$AO$22,MATCH(LARGE($AP$19:$AP$22,3),$AP$19:$AP$22,0)),""))</f>
        <v>4</v>
      </c>
      <c r="J21" s="11" t="s">
        <v>58</v>
      </c>
      <c r="K21" s="12" t="str">
        <f>_xlfn.XLOOKUP(J21,$F$5:$F$85,$G$5:$G$85, "")</f>
        <v>COLOMBIA</v>
      </c>
      <c r="L21" s="60">
        <v>1</v>
      </c>
      <c r="M21" s="62" t="s">
        <v>69</v>
      </c>
      <c r="N21" s="4"/>
      <c r="O21" s="4"/>
      <c r="P21" s="4"/>
      <c r="Q21" s="4"/>
      <c r="R21" s="4"/>
      <c r="S21" s="4"/>
      <c r="T21" s="4"/>
      <c r="U21" s="4"/>
      <c r="V21" s="4"/>
      <c r="W21" s="4"/>
      <c r="X21" s="4"/>
      <c r="Y21" s="4"/>
      <c r="Z21" s="4"/>
      <c r="AA21" s="4"/>
      <c r="AB21" s="4"/>
      <c r="AN21" s="34" t="str">
        <f>B20</f>
        <v>HAITI</v>
      </c>
      <c r="AO21" s="34" cm="1">
        <f t="array" ref="AO21">3*SUMPRODUCT(($B$19:$B$24=AN21)*($D$19:$D$24&gt;$E$19:$E$24))+3*SUMPRODUCT(($C$19:$C$24=AN21)*($E$19:$E$24&gt;$D$19:$D$24))+SUMPRODUCT((($B$19:$B$24=AN21)+($C$19:$C$24=AN21))*($D$19:$D$24=$E$19:$E$24)*(LEN($D$19:$D$24)&gt;0))</f>
        <v>0</v>
      </c>
      <c r="AP21" s="34">
        <f>AO21*1000000+(AQ21-AR21)*1000+AQ21*10-2</f>
        <v>-6992</v>
      </c>
      <c r="AQ21" s="34" cm="1">
        <f t="array" ref="AQ21">SUMPRODUCT(($B$19:$B$24=AN21)*$D$19:$D$24)+SUMPRODUCT(($C$19:$C$24=AN21)*$E$19:$E$24)</f>
        <v>1</v>
      </c>
      <c r="AR21" s="34" cm="1">
        <f t="array" ref="AR21">SUMPRODUCT(($B$19:$B$24=AN21)*$E$19:$E$24)+SUMPRODUCT(($C$19:$C$24=AN21)*$D$19:$D$24)</f>
        <v>8</v>
      </c>
      <c r="AW21" s="35"/>
      <c r="AX21" s="3"/>
      <c r="AY21" s="3"/>
      <c r="AZ21" s="3"/>
    </row>
    <row r="22" spans="1:52" ht="20.100000000000001" customHeight="1" x14ac:dyDescent="0.2">
      <c r="A22" s="5"/>
      <c r="B22" s="7" t="s">
        <v>619</v>
      </c>
      <c r="C22" s="7" t="s">
        <v>621</v>
      </c>
      <c r="D22" s="8">
        <v>3</v>
      </c>
      <c r="E22" s="8">
        <v>0</v>
      </c>
      <c r="F22" s="27" t="s">
        <v>11</v>
      </c>
      <c r="G22" s="7" t="str" cm="1">
        <f t="array" ref="G22">IF(SUMPRODUCT((LEN($D$19:$D$24)&gt;0)*(LEN($E$19:$E$24)&gt;0))=0,"",IFERROR(INDEX($AN$19:$AN$22,MATCH(LARGE($AP$19:$AP$22,4),$AP$19:$AP$22,0)),""))</f>
        <v>HAITI</v>
      </c>
      <c r="H22" s="7" cm="1">
        <f t="array" ref="H22">IF(SUMPRODUCT((LEN($D$19:$D$24)&gt;0)*(LEN($E$19:$E$24)&gt;0))=0,"",IFERROR(INDEX($AO$19:$AO$22,MATCH(LARGE($AP$19:$AP$22,4),$AP$19:$AP$22,0)),""))</f>
        <v>0</v>
      </c>
      <c r="J22" s="14" t="s">
        <v>62</v>
      </c>
      <c r="K22" s="15" t="str">
        <f>_xlfn.XLOOKUP(J22,$F$5:$F$85,$G$5:$G$85, "")</f>
        <v>CROATIA</v>
      </c>
      <c r="L22" s="61"/>
      <c r="M22" s="63"/>
      <c r="N22" s="4"/>
      <c r="O22" s="4"/>
      <c r="P22" s="4"/>
      <c r="Q22" s="4"/>
      <c r="R22" s="4"/>
      <c r="S22" s="4"/>
      <c r="T22" s="4"/>
      <c r="U22" s="4"/>
      <c r="V22" s="4"/>
      <c r="W22" s="4"/>
      <c r="X22" s="4"/>
      <c r="Y22" s="4"/>
      <c r="Z22" s="4"/>
      <c r="AA22" s="4"/>
      <c r="AB22" s="4"/>
      <c r="AN22" s="34" t="str">
        <f>C20</f>
        <v>SCOTLAND</v>
      </c>
      <c r="AO22" s="34" cm="1">
        <f t="array" ref="AO22">3*SUMPRODUCT(($B$19:$B$24=AN22)*($D$19:$D$24&gt;$E$19:$E$24))+3*SUMPRODUCT(($C$19:$C$24=AN22)*($E$19:$E$24&gt;$D$19:$D$24))+SUMPRODUCT((($B$19:$B$24=AN22)+($C$19:$C$24=AN22))*($D$19:$D$24=$E$19:$E$24)*(LEN($D$19:$D$24)&gt;0))</f>
        <v>4</v>
      </c>
      <c r="AP22" s="34">
        <f>AO22*1000000+(AQ22-AR22)*1000+AQ22*10-3</f>
        <v>4001047</v>
      </c>
      <c r="AQ22" s="34" cm="1">
        <f t="array" ref="AQ22">SUMPRODUCT(($B$19:$B$24=AN22)*$D$19:$D$24)+SUMPRODUCT(($C$19:$C$24=AN22)*$E$19:$E$24)</f>
        <v>5</v>
      </c>
      <c r="AR22" s="34" cm="1">
        <f t="array" ref="AR22">SUMPRODUCT(($B$19:$B$24=AN22)*$E$19:$E$24)+SUMPRODUCT(($C$19:$C$24=AN22)*$D$19:$D$24)</f>
        <v>4</v>
      </c>
      <c r="AT22" s="34" t="s">
        <v>85</v>
      </c>
      <c r="AU22" s="34" t="s">
        <v>610</v>
      </c>
      <c r="AW22" s="35"/>
      <c r="AX22" s="3"/>
      <c r="AY22" s="3"/>
      <c r="AZ22" s="3"/>
    </row>
    <row r="23" spans="1:52" ht="20.100000000000001" customHeight="1" x14ac:dyDescent="0.2">
      <c r="A23" s="5"/>
      <c r="B23" s="7" t="s">
        <v>622</v>
      </c>
      <c r="C23" s="7" t="s">
        <v>619</v>
      </c>
      <c r="D23" s="8">
        <v>1</v>
      </c>
      <c r="E23" s="8">
        <v>2</v>
      </c>
      <c r="H23" s="28"/>
      <c r="J23" s="4"/>
      <c r="K23" s="4"/>
      <c r="L23" s="4"/>
      <c r="M23" s="4"/>
      <c r="N23" s="4"/>
      <c r="O23" s="11" t="s">
        <v>69</v>
      </c>
      <c r="P23" s="12" t="str">
        <f>IF(L21="","",IF(L21=1, K21, K22))</f>
        <v>COLOMBIA</v>
      </c>
      <c r="Q23" s="60">
        <v>2</v>
      </c>
      <c r="R23" s="62" t="s">
        <v>26</v>
      </c>
      <c r="S23" s="4"/>
      <c r="T23" s="4"/>
      <c r="U23" s="4"/>
      <c r="V23" s="4"/>
      <c r="W23" s="4"/>
      <c r="X23" s="4"/>
      <c r="Y23" s="4"/>
      <c r="Z23" s="4"/>
      <c r="AA23" s="4"/>
      <c r="AB23" s="4"/>
      <c r="AT23" s="34" t="s">
        <v>0</v>
      </c>
      <c r="AU23" s="34" t="str">
        <f>IF($AT$20="","",IFERROR(VLOOKUP($AT$20,Terze!$B$2:$J$496,2,FALSE),""))</f>
        <v>3E</v>
      </c>
      <c r="AW23" s="35"/>
      <c r="AX23" s="3"/>
      <c r="AY23" s="3"/>
      <c r="AZ23" s="3"/>
    </row>
    <row r="24" spans="1:52" ht="20.100000000000001" customHeight="1" x14ac:dyDescent="0.2">
      <c r="A24" s="5"/>
      <c r="B24" s="7" t="s">
        <v>620</v>
      </c>
      <c r="C24" s="7" t="s">
        <v>621</v>
      </c>
      <c r="D24" s="8">
        <v>3</v>
      </c>
      <c r="E24" s="8">
        <v>1</v>
      </c>
      <c r="F24" s="23"/>
      <c r="G24" s="23"/>
      <c r="H24" s="24"/>
      <c r="J24" s="4"/>
      <c r="K24" s="4"/>
      <c r="L24" s="4"/>
      <c r="M24" s="4"/>
      <c r="N24" s="4"/>
      <c r="O24" s="14" t="s">
        <v>70</v>
      </c>
      <c r="P24" s="15" t="str">
        <f>IF(L25="","",IF(L25=1, K25, K26))</f>
        <v>SPAIN</v>
      </c>
      <c r="Q24" s="61"/>
      <c r="R24" s="63"/>
      <c r="S24" s="4"/>
      <c r="T24" s="4"/>
      <c r="U24" s="4"/>
      <c r="V24" s="4"/>
      <c r="W24" s="4"/>
      <c r="X24" s="4"/>
      <c r="Y24" s="4"/>
      <c r="Z24" s="4"/>
      <c r="AA24" s="4"/>
      <c r="AB24" s="4"/>
      <c r="AT24" s="34" t="s">
        <v>4</v>
      </c>
      <c r="AU24" s="34" t="str">
        <f>IF($AT$20="","",IFERROR(VLOOKUP($AT$20,Terze!$B$2:$J$496,3,FALSE),""))</f>
        <v>3J</v>
      </c>
      <c r="AW24" s="35"/>
      <c r="AX24" s="3"/>
      <c r="AY24" s="3"/>
      <c r="AZ24" s="3"/>
    </row>
    <row r="25" spans="1:52" ht="20.100000000000001" customHeight="1" x14ac:dyDescent="0.2">
      <c r="B25" s="67" t="s">
        <v>601</v>
      </c>
      <c r="C25" s="68"/>
      <c r="D25" s="68"/>
      <c r="E25" s="68"/>
      <c r="F25" s="68"/>
      <c r="G25" s="68"/>
      <c r="H25" s="69"/>
      <c r="J25" s="11" t="s">
        <v>45</v>
      </c>
      <c r="K25" s="12" t="str">
        <f>_xlfn.XLOOKUP(J25,$F$5:$F$85,$G$5:$G$85, "")</f>
        <v>SPAIN</v>
      </c>
      <c r="L25" s="60">
        <v>1</v>
      </c>
      <c r="M25" s="62" t="s">
        <v>70</v>
      </c>
      <c r="N25" s="4"/>
      <c r="O25" s="4"/>
      <c r="P25" s="4"/>
      <c r="Q25" s="4"/>
      <c r="R25" s="4"/>
      <c r="S25" s="4"/>
      <c r="T25" s="4"/>
      <c r="U25" s="4"/>
      <c r="V25" s="4"/>
      <c r="W25" s="4"/>
      <c r="X25" s="4"/>
      <c r="Y25" s="4"/>
      <c r="Z25" s="4"/>
      <c r="AA25" s="4"/>
      <c r="AB25" s="4"/>
      <c r="AT25" s="34" t="s">
        <v>12</v>
      </c>
      <c r="AU25" s="34" t="str">
        <f>IF($AT$20="","",IFERROR(VLOOKUP($AT$20,Terze!$B$2:$J$496,4,FALSE),""))</f>
        <v>3B</v>
      </c>
      <c r="AW25" s="35"/>
      <c r="AX25" s="3"/>
      <c r="AY25" s="3"/>
      <c r="AZ25" s="3"/>
    </row>
    <row r="26" spans="1:52" ht="20.100000000000001" customHeight="1" x14ac:dyDescent="0.2">
      <c r="A26" s="5"/>
      <c r="B26" s="7" t="s">
        <v>628</v>
      </c>
      <c r="C26" s="7" t="s">
        <v>631</v>
      </c>
      <c r="D26" s="38">
        <v>2</v>
      </c>
      <c r="E26" s="39">
        <v>0</v>
      </c>
      <c r="F26" s="25" t="s">
        <v>12</v>
      </c>
      <c r="G26" s="10" t="str" cm="1">
        <f t="array" ref="G26">IF(SUMPRODUCT((LEN($D$26:$D$31)&gt;0)*(LEN($E$26:$E$31)&gt;0))=0,"",IFERROR(INDEX($AN$26:$AN$29,MATCH(LARGE($AP$26:$AP$29,1),$AP$26:$AP$29,0)),""))</f>
        <v>TURKEY</v>
      </c>
      <c r="H26" s="10" cm="1">
        <f t="array" ref="H26">IF(SUMPRODUCT((LEN($D$26:$D$31)&gt;0)*(LEN($E$26:$E$31)&gt;0))=0,"",IFERROR(INDEX($AO$26:$AO$29,MATCH(LARGE($AP$26:$AP$29,1),$AP$26:$AP$29,0)),""))</f>
        <v>9</v>
      </c>
      <c r="J26" s="14" t="s">
        <v>54</v>
      </c>
      <c r="K26" s="15" t="str">
        <f>_xlfn.XLOOKUP(J26,$F$5:$F$85,$G$5:$G$85, "")</f>
        <v>ALGERIA</v>
      </c>
      <c r="L26" s="61"/>
      <c r="M26" s="63"/>
      <c r="N26" s="4"/>
      <c r="O26" s="4"/>
      <c r="P26" s="4"/>
      <c r="Q26" s="4"/>
      <c r="R26" s="4"/>
      <c r="S26" s="4"/>
      <c r="T26" s="4"/>
      <c r="U26" s="4"/>
      <c r="V26" s="4"/>
      <c r="W26" s="4"/>
      <c r="X26" s="4"/>
      <c r="Y26" s="4"/>
      <c r="Z26" s="4"/>
      <c r="AA26" s="4"/>
      <c r="AB26" s="4"/>
      <c r="AN26" s="34" t="str">
        <f>B26</f>
        <v>USA</v>
      </c>
      <c r="AO26" s="34" cm="1">
        <f t="array" ref="AO26">3*SUMPRODUCT(($B$26:$B$31=AN26)*($D$26:$D$31&gt;$E$26:$E$31))+3*SUMPRODUCT(($C$26:$C$31=AN26)*($E$26:$E$31&gt;$D$26:$D$31))+SUMPRODUCT((($B$26:$B$31=AN26)+($C$26:$C$31=AN26))*($D$26:$D$31=$E$26:$E$31)*(LEN($D$26:$D$31)&gt;0))</f>
        <v>6</v>
      </c>
      <c r="AP26" s="34">
        <f>AO26*1000000+(AQ26-AR26)*1000+AQ26*10-0</f>
        <v>6002040</v>
      </c>
      <c r="AQ26" s="34" cm="1">
        <f t="array" ref="AQ26">SUMPRODUCT(($B$26:$B$31=AN26)*$D$26:$D$31)+SUMPRODUCT(($C$26:$C$31=AN26)*$E$26:$E$31)</f>
        <v>4</v>
      </c>
      <c r="AR26" s="34" cm="1">
        <f t="array" ref="AR26">SUMPRODUCT(($B$26:$B$31=AN26)*$E$26:$E$31)+SUMPRODUCT(($C$26:$C$31=AN26)*$D$26:$D$31)</f>
        <v>2</v>
      </c>
      <c r="AT26" s="34" t="s">
        <v>16</v>
      </c>
      <c r="AU26" s="34" t="str">
        <f>IF($AT$20="","",IFERROR(VLOOKUP($AT$20,Terze!$B$2:$J$496,5,FALSE),""))</f>
        <v>3C</v>
      </c>
      <c r="AW26" s="35"/>
      <c r="AX26" s="3"/>
      <c r="AY26" s="3"/>
      <c r="AZ26" s="3"/>
    </row>
    <row r="27" spans="1:52" ht="20.100000000000001" customHeight="1" x14ac:dyDescent="0.2">
      <c r="A27" s="5"/>
      <c r="B27" s="7" t="s">
        <v>629</v>
      </c>
      <c r="C27" s="7" t="s">
        <v>630</v>
      </c>
      <c r="D27" s="40">
        <v>1</v>
      </c>
      <c r="E27" s="41">
        <v>3</v>
      </c>
      <c r="F27" s="25" t="s">
        <v>13</v>
      </c>
      <c r="G27" s="10" t="str" cm="1">
        <f t="array" ref="G27">IF(SUMPRODUCT((LEN($D$26:$D$31)&gt;0)*(LEN($E$26:$E$31)&gt;0))=0,"",IFERROR(INDEX($AN$26:$AN$29,MATCH(LARGE($AP$26:$AP$29,2),$AP$26:$AP$29,0)),""))</f>
        <v>USA</v>
      </c>
      <c r="H27" s="10" cm="1">
        <f t="array" ref="H27">IF(SUMPRODUCT((LEN($D$26:$D$31)&gt;0)*(LEN($E$26:$E$31)&gt;0))=0,"",IFERROR(INDEX($AO$26:$AO$29,MATCH(LARGE($AP$26:$AP$29,2),$AP$26:$AP$29,0)),""))</f>
        <v>6</v>
      </c>
      <c r="J27" s="4"/>
      <c r="K27" s="4"/>
      <c r="L27" s="4"/>
      <c r="M27" s="4"/>
      <c r="N27" s="4"/>
      <c r="O27" s="4"/>
      <c r="P27" s="4"/>
      <c r="Q27" s="4"/>
      <c r="R27" s="4"/>
      <c r="S27" s="4"/>
      <c r="T27" s="11" t="s">
        <v>26</v>
      </c>
      <c r="U27" s="12" t="str">
        <f>IF(Q23="","",IF(Q23=1, P23, P24))</f>
        <v>SPAIN</v>
      </c>
      <c r="V27" s="60">
        <v>1</v>
      </c>
      <c r="W27" s="62" t="s">
        <v>33</v>
      </c>
      <c r="X27" s="4"/>
      <c r="Y27" s="4"/>
      <c r="Z27" s="4"/>
      <c r="AA27" s="4"/>
      <c r="AB27" s="4"/>
      <c r="AN27" s="34" t="str">
        <f>C26</f>
        <v>PARAGUAY</v>
      </c>
      <c r="AO27" s="34" cm="1">
        <f t="array" ref="AO27">3*SUMPRODUCT(($B$26:$B$31=AN27)*($D$26:$D$31&gt;$E$26:$E$31))+3*SUMPRODUCT(($C$26:$C$31=AN27)*($E$26:$E$31&gt;$D$26:$D$31))+SUMPRODUCT((($B$26:$B$31=AN27)+($C$26:$C$31=AN27))*($D$26:$D$31=$E$26:$E$31)*(LEN($D$26:$D$31)&gt;0))</f>
        <v>1</v>
      </c>
      <c r="AP27" s="34">
        <f>AO27*1000000+(AQ27-AR27)*1000+AQ27*10-1</f>
        <v>997009</v>
      </c>
      <c r="AQ27" s="34" cm="1">
        <f t="array" ref="AQ27">SUMPRODUCT(($B$26:$B$31=AN27)*$D$26:$D$31)+SUMPRODUCT(($C$26:$C$31=AN27)*$E$26:$E$31)</f>
        <v>1</v>
      </c>
      <c r="AR27" s="34" cm="1">
        <f t="array" ref="AR27">SUMPRODUCT(($B$26:$B$31=AN27)*$E$26:$E$31)+SUMPRODUCT(($C$26:$C$31=AN27)*$D$26:$D$31)</f>
        <v>4</v>
      </c>
      <c r="AT27" s="34" t="s">
        <v>41</v>
      </c>
      <c r="AU27" s="34" t="str">
        <f>IF($AT$20="","",IFERROR(VLOOKUP($AT$20,Terze!$B$2:$J$496,6,FALSE),""))</f>
        <v>3A</v>
      </c>
      <c r="AW27" s="35"/>
      <c r="AX27" s="3"/>
      <c r="AY27" s="3"/>
      <c r="AZ27" s="3"/>
    </row>
    <row r="28" spans="1:52" ht="20.100000000000001" customHeight="1" x14ac:dyDescent="0.2">
      <c r="A28" s="5"/>
      <c r="B28" s="7" t="s">
        <v>628</v>
      </c>
      <c r="C28" s="7" t="s">
        <v>629</v>
      </c>
      <c r="D28" s="40">
        <v>1</v>
      </c>
      <c r="E28" s="41">
        <v>0</v>
      </c>
      <c r="F28" s="26" t="s">
        <v>14</v>
      </c>
      <c r="G28" s="17" t="str" cm="1">
        <f t="array" ref="G28">IF(SUMPRODUCT((LEN($D$26:$D$31)&gt;0)*(LEN($E$26:$E$31)&gt;0))=0,"",IFERROR(INDEX($AN$26:$AN$29,MATCH(LARGE($AP$26:$AP$29,3),$AP$26:$AP$29,0)),""))</f>
        <v>AUSTRALIA</v>
      </c>
      <c r="H28" s="17" cm="1">
        <f t="array" ref="H28">IF(SUMPRODUCT((LEN($D$26:$D$31)&gt;0)*(LEN($E$26:$E$31)&gt;0))=0,"",IFERROR(INDEX($AO$26:$AO$29,MATCH(LARGE($AP$26:$AP$29,3),$AP$26:$AP$29,0)),""))</f>
        <v>1</v>
      </c>
      <c r="J28" s="4"/>
      <c r="K28" s="4"/>
      <c r="L28" s="4"/>
      <c r="M28" s="4"/>
      <c r="N28" s="4"/>
      <c r="O28" s="4"/>
      <c r="P28" s="4"/>
      <c r="Q28" s="4"/>
      <c r="R28" s="4"/>
      <c r="S28" s="4"/>
      <c r="T28" s="14" t="s">
        <v>27</v>
      </c>
      <c r="U28" s="15" t="str">
        <f>IF(Q31="","",IF(Q31=1, P31, P32))</f>
        <v>TURKEY</v>
      </c>
      <c r="V28" s="61"/>
      <c r="W28" s="63"/>
      <c r="X28" s="4"/>
      <c r="Y28" s="4"/>
      <c r="Z28" s="4"/>
      <c r="AA28" s="4"/>
      <c r="AB28" s="4"/>
      <c r="AN28" s="34" t="str">
        <f>B27</f>
        <v>AUSTRALIA</v>
      </c>
      <c r="AO28" s="34" cm="1">
        <f t="array" ref="AO28">3*SUMPRODUCT(($B$26:$B$31=AN28)*($D$26:$D$31&gt;$E$26:$E$31))+3*SUMPRODUCT(($C$26:$C$31=AN28)*($E$26:$E$31&gt;$D$26:$D$31))+SUMPRODUCT((($B$26:$B$31=AN28)+($C$26:$C$31=AN28))*($D$26:$D$31=$E$26:$E$31)*(LEN($D$26:$D$31)&gt;0))</f>
        <v>1</v>
      </c>
      <c r="AP28" s="34">
        <f>AO28*1000000+(AQ28-AR28)*1000+AQ28*10-2</f>
        <v>997018</v>
      </c>
      <c r="AQ28" s="34" cm="1">
        <f t="array" ref="AQ28">SUMPRODUCT(($B$26:$B$31=AN28)*$D$26:$D$31)+SUMPRODUCT(($C$26:$C$31=AN28)*$E$26:$E$31)</f>
        <v>2</v>
      </c>
      <c r="AR28" s="34" cm="1">
        <f t="array" ref="AR28">SUMPRODUCT(($B$26:$B$31=AN28)*$E$26:$E$31)+SUMPRODUCT(($C$26:$C$31=AN28)*$D$26:$D$31)</f>
        <v>5</v>
      </c>
      <c r="AT28" s="34" t="s">
        <v>49</v>
      </c>
      <c r="AU28" s="34" t="str">
        <f>IF($AT$20="","",IFERROR(VLOOKUP($AT$20,Terze!$B$2:$J$496,7,FALSE),""))</f>
        <v>3G</v>
      </c>
      <c r="AW28" s="35"/>
      <c r="AX28" s="3"/>
      <c r="AY28" s="3"/>
      <c r="AZ28" s="3"/>
    </row>
    <row r="29" spans="1:52" ht="20.100000000000001" customHeight="1" x14ac:dyDescent="0.2">
      <c r="A29" s="5"/>
      <c r="B29" s="7" t="s">
        <v>630</v>
      </c>
      <c r="C29" s="7" t="s">
        <v>631</v>
      </c>
      <c r="D29" s="40">
        <v>1</v>
      </c>
      <c r="E29" s="41">
        <v>0</v>
      </c>
      <c r="F29" s="27" t="s">
        <v>15</v>
      </c>
      <c r="G29" s="7" t="str" cm="1">
        <f t="array" ref="G29">IF(SUMPRODUCT((LEN($D$26:$D$31)&gt;0)*(LEN($E$26:$E$31)&gt;0))=0,"",IFERROR(INDEX($AN$26:$AN$29,MATCH(LARGE($AP$26:$AP$29,4),$AP$26:$AP$29,0)),""))</f>
        <v>PARAGUAY</v>
      </c>
      <c r="H29" s="7" cm="1">
        <f t="array" ref="H29">IF(SUMPRODUCT((LEN($D$26:$D$31)&gt;0)*(LEN($E$26:$E$31)&gt;0))=0,"",IFERROR(INDEX($AO$26:$AO$29,MATCH(LARGE($AP$26:$AP$29,4),$AP$26:$AP$29,0)),""))</f>
        <v>1</v>
      </c>
      <c r="J29" s="11" t="s">
        <v>12</v>
      </c>
      <c r="K29" s="12" t="str">
        <f>_xlfn.XLOOKUP(J29,$F$5:$F$85,$G$5:$G$85, "")</f>
        <v>TURKEY</v>
      </c>
      <c r="L29" s="60">
        <v>1</v>
      </c>
      <c r="M29" s="62" t="s">
        <v>71</v>
      </c>
      <c r="N29" s="4"/>
      <c r="O29" s="4"/>
      <c r="P29" s="4"/>
      <c r="Q29" s="4"/>
      <c r="R29" s="4"/>
      <c r="S29" s="4"/>
      <c r="T29" s="4"/>
      <c r="U29" s="4"/>
      <c r="V29" s="4"/>
      <c r="W29" s="4"/>
      <c r="X29" s="4"/>
      <c r="Y29" s="4"/>
      <c r="Z29" s="4"/>
      <c r="AA29" s="4"/>
      <c r="AB29" s="4"/>
      <c r="AN29" s="34" t="str">
        <f>C27</f>
        <v>TURKEY</v>
      </c>
      <c r="AO29" s="34" cm="1">
        <f t="array" ref="AO29">3*SUMPRODUCT(($B$26:$B$31=AN29)*($D$26:$D$31&gt;$E$26:$E$31))+3*SUMPRODUCT(($C$26:$C$31=AN29)*($E$26:$E$31&gt;$D$26:$D$31))+SUMPRODUCT((($B$26:$B$31=AN29)+($C$26:$C$31=AN29))*($D$26:$D$31=$E$26:$E$31)*(LEN($D$26:$D$31)&gt;0))</f>
        <v>9</v>
      </c>
      <c r="AP29" s="34">
        <f>AO29*1000000+(AQ29-AR29)*1000+AQ29*10-3</f>
        <v>9004057</v>
      </c>
      <c r="AQ29" s="34" cm="1">
        <f t="array" ref="AQ29">SUMPRODUCT(($B$26:$B$31=AN29)*$D$26:$D$31)+SUMPRODUCT(($C$26:$C$31=AN29)*$E$26:$E$31)</f>
        <v>6</v>
      </c>
      <c r="AR29" s="34" cm="1">
        <f t="array" ref="AR29">SUMPRODUCT(($B$26:$B$31=AN29)*$E$26:$E$31)+SUMPRODUCT(($C$26:$C$31=AN29)*$D$26:$D$31)</f>
        <v>2</v>
      </c>
      <c r="AT29" s="34" t="s">
        <v>57</v>
      </c>
      <c r="AU29" s="34" t="str">
        <f>IF($AT$20="","",IFERROR(VLOOKUP($AT$20,Terze!$B$2:$J$496,8,FALSE),""))</f>
        <v>3I</v>
      </c>
      <c r="AW29" s="35"/>
      <c r="AX29" s="3"/>
      <c r="AY29" s="3"/>
      <c r="AZ29" s="3"/>
    </row>
    <row r="30" spans="1:52" ht="20.100000000000001" customHeight="1" x14ac:dyDescent="0.2">
      <c r="A30" s="5"/>
      <c r="B30" s="7" t="s">
        <v>630</v>
      </c>
      <c r="C30" s="7" t="s">
        <v>628</v>
      </c>
      <c r="D30" s="40">
        <v>2</v>
      </c>
      <c r="E30" s="41">
        <v>1</v>
      </c>
      <c r="H30" s="28"/>
      <c r="J30" s="14" t="str">
        <f>AU25</f>
        <v>3B</v>
      </c>
      <c r="K30" s="15" t="str">
        <f>_xlfn.XLOOKUP(J30,$F$5:$F$85,$G$5:$G$85, "")</f>
        <v>BOSNIA H.</v>
      </c>
      <c r="L30" s="61"/>
      <c r="M30" s="63"/>
      <c r="N30" s="4"/>
      <c r="O30" s="4"/>
      <c r="P30" s="4"/>
      <c r="Q30" s="4"/>
      <c r="R30" s="4"/>
      <c r="S30" s="4"/>
      <c r="T30" s="4"/>
      <c r="U30" s="4"/>
      <c r="V30" s="4"/>
      <c r="W30" s="4"/>
      <c r="X30" s="4"/>
      <c r="Y30" s="4"/>
      <c r="Z30" s="4"/>
      <c r="AA30" s="4"/>
      <c r="AB30" s="4"/>
      <c r="AT30" s="34" t="s">
        <v>61</v>
      </c>
      <c r="AU30" s="34" t="str">
        <f>IF($AT$20="","",IFERROR(VLOOKUP($AT$20,Terze!$B$2:$J$496,9,FALSE),""))</f>
        <v>3K</v>
      </c>
      <c r="AW30" s="35"/>
      <c r="AX30" s="3"/>
      <c r="AY30" s="3"/>
      <c r="AZ30" s="3"/>
    </row>
    <row r="31" spans="1:52" ht="20.100000000000001" customHeight="1" x14ac:dyDescent="0.2">
      <c r="A31" s="5"/>
      <c r="B31" s="7" t="s">
        <v>631</v>
      </c>
      <c r="C31" s="7" t="s">
        <v>629</v>
      </c>
      <c r="D31" s="40">
        <v>1</v>
      </c>
      <c r="E31" s="41">
        <v>1</v>
      </c>
      <c r="F31" s="23"/>
      <c r="G31" s="23"/>
      <c r="H31" s="24"/>
      <c r="J31" s="4"/>
      <c r="K31" s="4"/>
      <c r="L31" s="4"/>
      <c r="M31" s="4"/>
      <c r="N31" s="4"/>
      <c r="O31" s="11" t="s">
        <v>71</v>
      </c>
      <c r="P31" s="12" t="str">
        <f>IF(L29="","",IF(L29=1, K29, K30))</f>
        <v>TURKEY</v>
      </c>
      <c r="Q31" s="60">
        <v>1</v>
      </c>
      <c r="R31" s="62" t="s">
        <v>27</v>
      </c>
      <c r="S31" s="4"/>
      <c r="T31" s="4"/>
      <c r="U31" s="4"/>
      <c r="V31" s="4"/>
      <c r="W31" s="4"/>
      <c r="X31" s="4"/>
      <c r="Y31" s="4"/>
      <c r="Z31" s="4"/>
      <c r="AA31" s="4"/>
      <c r="AB31" s="4"/>
      <c r="AW31" s="35"/>
      <c r="AX31" s="3"/>
      <c r="AY31" s="3"/>
      <c r="AZ31" s="3"/>
    </row>
    <row r="32" spans="1:52" ht="20.100000000000001" customHeight="1" x14ac:dyDescent="0.2">
      <c r="B32" s="67" t="s">
        <v>602</v>
      </c>
      <c r="C32" s="68"/>
      <c r="D32" s="68"/>
      <c r="E32" s="68"/>
      <c r="F32" s="68"/>
      <c r="G32" s="68"/>
      <c r="H32" s="69"/>
      <c r="J32" s="4"/>
      <c r="K32" s="4"/>
      <c r="L32" s="4"/>
      <c r="M32" s="4"/>
      <c r="N32" s="4"/>
      <c r="O32" s="14" t="s">
        <v>72</v>
      </c>
      <c r="P32" s="15" t="str">
        <f>IF(L33="","",IF(L33=1, K33, K34))</f>
        <v>BELGIUM</v>
      </c>
      <c r="Q32" s="61"/>
      <c r="R32" s="63"/>
      <c r="S32" s="4"/>
      <c r="T32" s="4"/>
      <c r="U32" s="4"/>
      <c r="V32" s="4"/>
      <c r="W32" s="4"/>
      <c r="X32" s="4"/>
      <c r="Y32" s="4"/>
      <c r="Z32" s="4"/>
      <c r="AA32" s="4"/>
      <c r="AB32" s="4"/>
      <c r="AW32" s="35"/>
      <c r="AX32" s="3"/>
      <c r="AY32" s="3"/>
      <c r="AZ32" s="3"/>
    </row>
    <row r="33" spans="1:52" ht="20.100000000000001" customHeight="1" x14ac:dyDescent="0.2">
      <c r="A33" s="5"/>
      <c r="B33" s="7" t="s">
        <v>624</v>
      </c>
      <c r="C33" s="7" t="s">
        <v>625</v>
      </c>
      <c r="D33" s="38">
        <v>5</v>
      </c>
      <c r="E33" s="39">
        <v>0</v>
      </c>
      <c r="F33" s="25" t="s">
        <v>16</v>
      </c>
      <c r="G33" s="10" t="str" cm="1">
        <f t="array" ref="G33">IF(SUMPRODUCT((LEN($D$33:$D$38)&gt;0)*(LEN($E$33:$E$38)&gt;0))=0,"",IFERROR(INDEX($AN$33:$AN$36,MATCH(LARGE($AP$33:$AP$36,1),$AP$33:$AP$36,0)),""))</f>
        <v>GERMANY</v>
      </c>
      <c r="H33" s="10" cm="1">
        <f t="array" ref="H33">IF(SUMPRODUCT((LEN($D$33:$D$38)&gt;0)*(LEN($E$33:$E$38)&gt;0))=0,"",IFERROR(INDEX($AO$33:$AO$36,MATCH(LARGE($AP$33:$AP$36,1),$AP$33:$AP$36,0)),""))</f>
        <v>7</v>
      </c>
      <c r="J33" s="11" t="s">
        <v>41</v>
      </c>
      <c r="K33" s="12" t="str">
        <f>_xlfn.XLOOKUP(J33,$F$5:$F$85,$G$5:$G$85, "")</f>
        <v>BELGIUM</v>
      </c>
      <c r="L33" s="60">
        <v>1</v>
      </c>
      <c r="M33" s="62" t="s">
        <v>72</v>
      </c>
      <c r="N33" s="4"/>
      <c r="O33" s="4"/>
      <c r="P33" s="4"/>
      <c r="Q33" s="4"/>
      <c r="R33" s="4"/>
      <c r="S33" s="4"/>
      <c r="T33" s="4"/>
      <c r="U33" s="4"/>
      <c r="V33" s="4"/>
      <c r="W33" s="4"/>
      <c r="X33" s="4"/>
      <c r="Y33" s="4"/>
      <c r="Z33" s="4"/>
      <c r="AA33" s="4"/>
      <c r="AB33" s="4"/>
      <c r="AN33" s="34" t="str">
        <f>B33</f>
        <v>GERMANY</v>
      </c>
      <c r="AO33" s="34" cm="1">
        <f t="array" ref="AO33">3*SUMPRODUCT(($B$33:$B$38=AN33)*($D$33:$D$38&gt;$E$33:$E$38))+3*SUMPRODUCT(($C$33:$C$38=AN33)*($E$33:$E$38&gt;$D$33:$D$38))+SUMPRODUCT((($B$33:$B$38=AN33)+($C$33:$C$38=AN33))*($D$33:$D$38=$E$33:$E$38)*(LEN($D$33:$D$38)&gt;0))</f>
        <v>7</v>
      </c>
      <c r="AP33" s="34">
        <f>AO33*1000000+(AQ33-AR33)*1000+AQ33*10-0</f>
        <v>7006090</v>
      </c>
      <c r="AQ33" s="34" cm="1">
        <f t="array" ref="AQ33">SUMPRODUCT(($B$33:$B$38=AN33)*$D$33:$D$38)+SUMPRODUCT(($C$33:$C$38=AN33)*$E$33:$E$38)</f>
        <v>9</v>
      </c>
      <c r="AR33" s="34" cm="1">
        <f t="array" ref="AR33">SUMPRODUCT(($B$33:$B$38=AN33)*$E$33:$E$38)+SUMPRODUCT(($C$33:$C$38=AN33)*$D$33:$D$38)</f>
        <v>3</v>
      </c>
      <c r="AW33" s="35"/>
      <c r="AX33" s="3"/>
      <c r="AY33" s="3"/>
      <c r="AZ33" s="3"/>
    </row>
    <row r="34" spans="1:52" ht="20.100000000000001" customHeight="1" x14ac:dyDescent="0.2">
      <c r="A34" s="5"/>
      <c r="B34" s="7" t="s">
        <v>626</v>
      </c>
      <c r="C34" s="7" t="s">
        <v>627</v>
      </c>
      <c r="D34" s="40">
        <v>1</v>
      </c>
      <c r="E34" s="41">
        <v>2</v>
      </c>
      <c r="F34" s="25" t="s">
        <v>17</v>
      </c>
      <c r="G34" s="10" t="str" cm="1">
        <f t="array" ref="G34">IF(SUMPRODUCT((LEN($D$33:$D$38)&gt;0)*(LEN($E$33:$E$38)&gt;0))=0,"",IFERROR(INDEX($AN$33:$AN$36,MATCH(LARGE($AP$33:$AP$36,2),$AP$33:$AP$36,0)),""))</f>
        <v>ECUADOR</v>
      </c>
      <c r="H34" s="10" cm="1">
        <f t="array" ref="H34">IF(SUMPRODUCT((LEN($D$33:$D$38)&gt;0)*(LEN($E$33:$E$38)&gt;0))=0,"",IFERROR(INDEX($AO$33:$AO$36,MATCH(LARGE($AP$33:$AP$36,2),$AP$33:$AP$36,0)),""))</f>
        <v>7</v>
      </c>
      <c r="J34" s="14" t="str">
        <f>AU27</f>
        <v>3A</v>
      </c>
      <c r="K34" s="15" t="str">
        <f>_xlfn.XLOOKUP(J34,$F$5:$F$85,$G$5:$G$85, "")</f>
        <v>SOUTH KOREA</v>
      </c>
      <c r="L34" s="61"/>
      <c r="M34" s="63"/>
      <c r="N34" s="4"/>
      <c r="O34" s="4"/>
      <c r="P34" s="4"/>
      <c r="Q34" s="4"/>
      <c r="R34" s="4"/>
      <c r="S34" s="4"/>
      <c r="T34" s="4"/>
      <c r="U34" s="4"/>
      <c r="V34" s="4"/>
      <c r="W34" s="4"/>
      <c r="X34" s="4"/>
      <c r="Y34" s="4"/>
      <c r="Z34" s="4"/>
      <c r="AA34" s="4"/>
      <c r="AB34" s="4"/>
      <c r="AN34" s="34" t="str">
        <f>C33</f>
        <v>CURAÇAO</v>
      </c>
      <c r="AO34" s="34" cm="1">
        <f t="array" ref="AO34">3*SUMPRODUCT(($B$33:$B$38=AN34)*($D$33:$D$38&gt;$E$33:$E$38))+3*SUMPRODUCT(($C$33:$C$38=AN34)*($E$33:$E$38&gt;$D$33:$D$38))+SUMPRODUCT((($B$33:$B$38=AN34)+($C$33:$C$38=AN34))*($D$33:$D$38=$E$33:$E$38)*(LEN($D$33:$D$38)&gt;0))</f>
        <v>0</v>
      </c>
      <c r="AP34" s="34">
        <f>AO34*1000000+(AQ34-AR34)*1000+AQ34*10-1</f>
        <v>-8991</v>
      </c>
      <c r="AQ34" s="34" cm="1">
        <f t="array" ref="AQ34">SUMPRODUCT(($B$33:$B$38=AN34)*$D$33:$D$38)+SUMPRODUCT(($C$33:$C$38=AN34)*$E$33:$E$38)</f>
        <v>1</v>
      </c>
      <c r="AR34" s="34" cm="1">
        <f t="array" ref="AR34">SUMPRODUCT(($B$33:$B$38=AN34)*$E$33:$E$38)+SUMPRODUCT(($C$33:$C$38=AN34)*$D$33:$D$38)</f>
        <v>10</v>
      </c>
      <c r="AW34" s="35"/>
      <c r="AX34" s="3"/>
      <c r="AY34" s="3"/>
      <c r="AZ34" s="3"/>
    </row>
    <row r="35" spans="1:52" ht="20.100000000000001" customHeight="1" x14ac:dyDescent="0.2">
      <c r="A35" s="5"/>
      <c r="B35" s="7" t="s">
        <v>624</v>
      </c>
      <c r="C35" s="7" t="s">
        <v>626</v>
      </c>
      <c r="D35" s="40">
        <v>2</v>
      </c>
      <c r="E35" s="41">
        <v>1</v>
      </c>
      <c r="F35" s="26" t="s">
        <v>18</v>
      </c>
      <c r="G35" s="17" t="str" cm="1">
        <f t="array" ref="G35">IF(SUMPRODUCT((LEN($D$33:$D$38)&gt;0)*(LEN($E$33:$E$38)&gt;0))=0,"",IFERROR(INDEX($AN$33:$AN$36,MATCH(LARGE($AP$33:$AP$36,3),$AP$33:$AP$36,0)),""))</f>
        <v>IVORY COAST</v>
      </c>
      <c r="H35" s="17" cm="1">
        <f t="array" ref="H35">IF(SUMPRODUCT((LEN($D$33:$D$38)&gt;0)*(LEN($E$33:$E$38)&gt;0))=0,"",IFERROR(INDEX($AO$33:$AO$36,MATCH(LARGE($AP$33:$AP$36,3),$AP$33:$AP$36,0)),""))</f>
        <v>3</v>
      </c>
      <c r="J35" s="4"/>
      <c r="K35" s="4"/>
      <c r="L35" s="4"/>
      <c r="M35" s="4"/>
      <c r="N35" s="4"/>
      <c r="O35" s="4"/>
      <c r="P35" s="4"/>
      <c r="Q35" s="4"/>
      <c r="R35" s="4"/>
      <c r="S35" s="4"/>
      <c r="T35" s="4"/>
      <c r="U35" s="4"/>
      <c r="V35" s="4"/>
      <c r="W35" s="4"/>
      <c r="X35" s="4"/>
      <c r="Y35" s="4"/>
      <c r="Z35" s="4"/>
      <c r="AA35" s="4"/>
      <c r="AB35" s="4"/>
      <c r="AD35" s="11" t="s">
        <v>36</v>
      </c>
      <c r="AE35" s="12" t="str">
        <f>IF(AA19="","",IF(AA19=1, Z19, Z20))</f>
        <v>FRANCE</v>
      </c>
      <c r="AF35" s="60">
        <v>2</v>
      </c>
      <c r="AG35" s="62" t="s">
        <v>38</v>
      </c>
      <c r="AI35" s="29" t="s">
        <v>39</v>
      </c>
      <c r="AJ35" s="66" t="str">
        <f>IF(AF35="","",IF(AF35=1, AE35, AE36))</f>
        <v>PORTUGAL</v>
      </c>
      <c r="AK35" s="66"/>
      <c r="AL35" s="66"/>
      <c r="AN35" s="34" t="str">
        <f>B34</f>
        <v>IVORY COAST</v>
      </c>
      <c r="AO35" s="34" cm="1">
        <f t="array" ref="AO35">3*SUMPRODUCT(($B$33:$B$38=AN35)*($D$33:$D$38&gt;$E$33:$E$38))+3*SUMPRODUCT(($C$33:$C$38=AN35)*($E$33:$E$38&gt;$D$33:$D$38))+SUMPRODUCT((($B$33:$B$38=AN35)+($C$33:$C$38=AN35))*($D$33:$D$38=$E$33:$E$38)*(LEN($D$33:$D$38)&gt;0))</f>
        <v>3</v>
      </c>
      <c r="AP35" s="34">
        <f>AO35*1000000+(AQ35-AR35)*1000+AQ35*10-2</f>
        <v>2999038</v>
      </c>
      <c r="AQ35" s="34" cm="1">
        <f t="array" ref="AQ35">SUMPRODUCT(($B$33:$B$38=AN35)*$D$33:$D$38)+SUMPRODUCT(($C$33:$C$38=AN35)*$E$33:$E$38)</f>
        <v>4</v>
      </c>
      <c r="AR35" s="34" cm="1">
        <f t="array" ref="AR35">SUMPRODUCT(($B$33:$B$38=AN35)*$E$33:$E$38)+SUMPRODUCT(($C$33:$C$38=AN35)*$D$33:$D$38)</f>
        <v>5</v>
      </c>
      <c r="AW35" s="35"/>
      <c r="AX35" s="3"/>
      <c r="AY35" s="3"/>
      <c r="AZ35" s="3"/>
    </row>
    <row r="36" spans="1:52" ht="20.100000000000001" customHeight="1" x14ac:dyDescent="0.2">
      <c r="A36" s="5"/>
      <c r="B36" s="7" t="s">
        <v>627</v>
      </c>
      <c r="C36" s="7" t="s">
        <v>625</v>
      </c>
      <c r="D36" s="40">
        <v>3</v>
      </c>
      <c r="E36" s="41">
        <v>0</v>
      </c>
      <c r="F36" s="27" t="s">
        <v>19</v>
      </c>
      <c r="G36" s="7" t="str" cm="1">
        <f t="array" ref="G36">IF(SUMPRODUCT((LEN($D$33:$D$38)&gt;0)*(LEN($E$33:$E$38)&gt;0))=0,"",IFERROR(INDEX($AN$33:$AN$36,MATCH(LARGE($AP$33:$AP$36,4),$AP$33:$AP$36,0)),""))</f>
        <v>CURAÇAO</v>
      </c>
      <c r="H36" s="7" cm="1">
        <f t="array" ref="H36">IF(SUMPRODUCT((LEN($D$33:$D$38)&gt;0)*(LEN($E$33:$E$38)&gt;0))=0,"",IFERROR(INDEX($AO$33:$AO$36,MATCH(LARGE($AP$33:$AP$36,4),$AP$33:$AP$36,0)),""))</f>
        <v>0</v>
      </c>
      <c r="J36" s="4"/>
      <c r="K36" s="4"/>
      <c r="L36" s="4"/>
      <c r="M36" s="4"/>
      <c r="N36" s="4"/>
      <c r="O36" s="4"/>
      <c r="P36" s="4"/>
      <c r="Q36" s="4"/>
      <c r="R36" s="4"/>
      <c r="S36" s="4"/>
      <c r="T36" s="4"/>
      <c r="U36" s="4"/>
      <c r="V36" s="4"/>
      <c r="W36" s="4"/>
      <c r="X36" s="4"/>
      <c r="Y36" s="4"/>
      <c r="Z36" s="4"/>
      <c r="AA36" s="4"/>
      <c r="AB36" s="4"/>
      <c r="AD36" s="14" t="s">
        <v>37</v>
      </c>
      <c r="AE36" s="15" t="str">
        <f>IF(AA51="","",IF(AA51=1, Z51, Z52))</f>
        <v>PORTUGAL</v>
      </c>
      <c r="AF36" s="61"/>
      <c r="AG36" s="63"/>
      <c r="AI36" s="29" t="s">
        <v>40</v>
      </c>
      <c r="AJ36" s="66" t="str">
        <f>IF(AF35="","",IF(AF35=2, AE35, AE36))</f>
        <v>FRANCE</v>
      </c>
      <c r="AK36" s="66"/>
      <c r="AL36" s="66"/>
      <c r="AN36" s="34" t="str">
        <f>C34</f>
        <v>ECUADOR</v>
      </c>
      <c r="AO36" s="34" cm="1">
        <f t="array" ref="AO36">3*SUMPRODUCT(($B$33:$B$38=AN36)*($D$33:$D$38&gt;$E$33:$E$38))+3*SUMPRODUCT(($C$33:$C$38=AN36)*($E$33:$E$38&gt;$D$33:$D$38))+SUMPRODUCT((($B$33:$B$38=AN36)+($C$33:$C$38=AN36))*($D$33:$D$38=$E$33:$E$38)*(LEN($D$33:$D$38)&gt;0))</f>
        <v>7</v>
      </c>
      <c r="AP36" s="34">
        <f>AO36*1000000+(AQ36-AR36)*1000+AQ36*10-3</f>
        <v>7004067</v>
      </c>
      <c r="AQ36" s="34" cm="1">
        <f t="array" ref="AQ36">SUMPRODUCT(($B$33:$B$38=AN36)*$D$33:$D$38)+SUMPRODUCT(($C$33:$C$38=AN36)*$E$33:$E$38)</f>
        <v>7</v>
      </c>
      <c r="AR36" s="34" cm="1">
        <f t="array" ref="AR36">SUMPRODUCT(($B$33:$B$38=AN36)*$E$33:$E$38)+SUMPRODUCT(($C$33:$C$38=AN36)*$D$33:$D$38)</f>
        <v>3</v>
      </c>
      <c r="AW36" s="35"/>
      <c r="AX36" s="3"/>
      <c r="AY36" s="3"/>
      <c r="AZ36" s="3"/>
    </row>
    <row r="37" spans="1:52" ht="20.100000000000001" customHeight="1" x14ac:dyDescent="0.2">
      <c r="A37" s="5"/>
      <c r="B37" s="7" t="s">
        <v>625</v>
      </c>
      <c r="C37" s="7" t="s">
        <v>626</v>
      </c>
      <c r="D37" s="40">
        <v>1</v>
      </c>
      <c r="E37" s="41">
        <v>2</v>
      </c>
      <c r="H37" s="28"/>
      <c r="J37" s="11" t="s">
        <v>8</v>
      </c>
      <c r="K37" s="12" t="str">
        <f>_xlfn.XLOOKUP(J37,$F$5:$F$85,$G$5:$G$85, "")</f>
        <v>BRAZIL</v>
      </c>
      <c r="L37" s="60">
        <v>1</v>
      </c>
      <c r="M37" s="62" t="s">
        <v>73</v>
      </c>
      <c r="N37" s="4"/>
      <c r="O37" s="4"/>
      <c r="P37" s="4"/>
      <c r="Q37" s="4"/>
      <c r="R37" s="4"/>
      <c r="S37" s="4"/>
      <c r="T37" s="4"/>
      <c r="U37" s="4"/>
      <c r="V37" s="4"/>
      <c r="W37" s="4"/>
      <c r="X37" s="4"/>
      <c r="Y37" s="4"/>
      <c r="Z37" s="4"/>
      <c r="AA37" s="4"/>
      <c r="AB37" s="4"/>
      <c r="AI37" s="29" t="s">
        <v>84</v>
      </c>
      <c r="AJ37" s="66" t="str">
        <f>IF(AF43="","",IF(AF43=1, AE43, AE44))</f>
        <v>SPAIN</v>
      </c>
      <c r="AK37" s="66"/>
      <c r="AL37" s="66"/>
      <c r="AW37" s="35"/>
      <c r="AX37" s="3"/>
      <c r="AY37" s="3"/>
      <c r="AZ37" s="3"/>
    </row>
    <row r="38" spans="1:52" ht="20.100000000000001" customHeight="1" x14ac:dyDescent="0.2">
      <c r="A38" s="5"/>
      <c r="B38" s="7" t="s">
        <v>627</v>
      </c>
      <c r="C38" s="7" t="s">
        <v>624</v>
      </c>
      <c r="D38" s="40">
        <v>2</v>
      </c>
      <c r="E38" s="41">
        <v>2</v>
      </c>
      <c r="F38" s="23"/>
      <c r="G38" s="23"/>
      <c r="H38" s="24"/>
      <c r="J38" s="14" t="s">
        <v>21</v>
      </c>
      <c r="K38" s="15" t="str">
        <f>_xlfn.XLOOKUP(J38,$F$5:$F$85,$G$5:$G$85, "")</f>
        <v>JAPAN</v>
      </c>
      <c r="L38" s="61"/>
      <c r="M38" s="63"/>
      <c r="N38" s="4"/>
      <c r="O38" s="4"/>
      <c r="P38" s="4"/>
      <c r="Q38" s="4"/>
      <c r="R38" s="4"/>
      <c r="S38" s="4"/>
      <c r="T38" s="4"/>
      <c r="U38" s="4"/>
      <c r="V38" s="4"/>
      <c r="W38" s="4"/>
      <c r="X38" s="4"/>
      <c r="Y38" s="4"/>
      <c r="Z38" s="4"/>
      <c r="AA38" s="4"/>
      <c r="AB38" s="4"/>
      <c r="AI38" s="29" t="s">
        <v>660</v>
      </c>
      <c r="AJ38" s="66" t="str">
        <f>IF(AF43="","",IF(AF43=2, AE43, AE44))</f>
        <v>NORWAY</v>
      </c>
      <c r="AK38" s="66"/>
      <c r="AL38" s="66"/>
      <c r="AW38" s="35"/>
      <c r="AX38" s="3"/>
      <c r="AY38" s="3"/>
      <c r="AZ38" s="3"/>
    </row>
    <row r="39" spans="1:52" ht="20.100000000000001" customHeight="1" x14ac:dyDescent="0.2">
      <c r="B39" s="67" t="s">
        <v>603</v>
      </c>
      <c r="C39" s="68"/>
      <c r="D39" s="68"/>
      <c r="E39" s="68"/>
      <c r="F39" s="68"/>
      <c r="G39" s="68"/>
      <c r="H39" s="69"/>
      <c r="J39" s="4"/>
      <c r="K39" s="4"/>
      <c r="L39" s="4"/>
      <c r="M39" s="4"/>
      <c r="N39" s="4"/>
      <c r="O39" s="11" t="s">
        <v>73</v>
      </c>
      <c r="P39" s="12" t="str">
        <f>IF(L37="","",IF(L37=1, K37, K38))</f>
        <v>BRAZIL</v>
      </c>
      <c r="Q39" s="60">
        <v>2</v>
      </c>
      <c r="R39" s="62" t="s">
        <v>28</v>
      </c>
      <c r="S39" s="4"/>
      <c r="T39" s="4"/>
      <c r="U39" s="4"/>
      <c r="V39" s="4"/>
      <c r="W39" s="4"/>
      <c r="X39" s="4"/>
      <c r="Y39" s="4"/>
      <c r="Z39" s="4"/>
      <c r="AA39" s="4"/>
      <c r="AB39" s="4"/>
      <c r="AW39" s="35"/>
      <c r="AX39" s="3"/>
      <c r="AY39" s="3"/>
      <c r="AZ39" s="3"/>
    </row>
    <row r="40" spans="1:52" ht="20.100000000000001" customHeight="1" x14ac:dyDescent="0.2">
      <c r="A40" s="5"/>
      <c r="B40" s="7" t="s">
        <v>632</v>
      </c>
      <c r="C40" s="7" t="s">
        <v>635</v>
      </c>
      <c r="D40" s="38">
        <v>2</v>
      </c>
      <c r="E40" s="39">
        <v>2</v>
      </c>
      <c r="F40" s="25" t="s">
        <v>20</v>
      </c>
      <c r="G40" s="10" t="str" cm="1">
        <f t="array" ref="G40">IF(SUMPRODUCT((LEN($D$40:$D$45)&gt;0)*(LEN($E$40:$E$45)&gt;0))=0,"",IFERROR(INDEX($AN$40:$AN$43,MATCH(LARGE($AP$40:$AP$43,1),$AP$40:$AP$43,0)),""))</f>
        <v>NETHERLANDS</v>
      </c>
      <c r="H40" s="10" cm="1">
        <f t="array" ref="H40">IF(SUMPRODUCT((LEN($D$40:$D$45)&gt;0)*(LEN($E$40:$E$45)&gt;0))=0,"",IFERROR(INDEX($AO$40:$AO$43,MATCH(LARGE($AP$40:$AP$43,1),$AP$40:$AP$43,0)),""))</f>
        <v>7</v>
      </c>
      <c r="J40" s="4"/>
      <c r="K40" s="4"/>
      <c r="L40" s="4"/>
      <c r="M40" s="4"/>
      <c r="N40" s="4"/>
      <c r="O40" s="14" t="s">
        <v>74</v>
      </c>
      <c r="P40" s="15" t="str">
        <f>IF(L41="","",IF(L41=1, K41, K42))</f>
        <v>NORWAY</v>
      </c>
      <c r="Q40" s="61"/>
      <c r="R40" s="63"/>
      <c r="S40" s="4"/>
      <c r="T40" s="4"/>
      <c r="U40" s="4"/>
      <c r="V40" s="4"/>
      <c r="W40" s="4"/>
      <c r="X40" s="4"/>
      <c r="Y40" s="4"/>
      <c r="Z40" s="4"/>
      <c r="AA40" s="4"/>
      <c r="AB40" s="4"/>
      <c r="AD40" s="64" t="s">
        <v>611</v>
      </c>
      <c r="AE40" s="64"/>
      <c r="AF40" s="64"/>
      <c r="AG40" s="64"/>
      <c r="AN40" s="34" t="str">
        <f>B40</f>
        <v>NETHERLANDS</v>
      </c>
      <c r="AO40" s="34" cm="1">
        <f t="array" ref="AO40">3*SUMPRODUCT(($B$40:$B$45=AN40)*($D$40:$D$45&gt;$E$40:$E$45))+3*SUMPRODUCT(($C$40:$C$45=AN40)*($E$40:$E$45&gt;$D$40:$D$45))+SUMPRODUCT((($B$40:$B$45=AN40)+($C$40:$C$45=AN40))*($D$40:$D$45=$E$40:$E$45)*(LEN($D$40:$D$45)&gt;0))</f>
        <v>7</v>
      </c>
      <c r="AP40" s="34">
        <f>AO40*1000000+(AQ40-AR40)*1000+AQ40*10-0</f>
        <v>7004080</v>
      </c>
      <c r="AQ40" s="34" cm="1">
        <f t="array" ref="AQ40">SUMPRODUCT(($B$40:$B$45=AN40)*$D$40:$D$45)+SUMPRODUCT(($C$40:$C$45=AN40)*$E$40:$E$45)</f>
        <v>8</v>
      </c>
      <c r="AR40" s="34" cm="1">
        <f t="array" ref="AR40">SUMPRODUCT(($B$40:$B$45=AN40)*$E$40:$E$45)+SUMPRODUCT(($C$40:$C$45=AN40)*$D$40:$D$45)</f>
        <v>4</v>
      </c>
      <c r="AW40" s="35"/>
      <c r="AX40" s="3"/>
      <c r="AY40" s="3"/>
      <c r="AZ40" s="3"/>
    </row>
    <row r="41" spans="1:52" ht="20.100000000000001" customHeight="1" x14ac:dyDescent="0.2">
      <c r="A41" s="5"/>
      <c r="B41" s="7" t="s">
        <v>633</v>
      </c>
      <c r="C41" s="7" t="s">
        <v>634</v>
      </c>
      <c r="D41" s="40">
        <v>1</v>
      </c>
      <c r="E41" s="41">
        <v>1</v>
      </c>
      <c r="F41" s="25" t="s">
        <v>21</v>
      </c>
      <c r="G41" s="10" t="str" cm="1">
        <f t="array" ref="G41">IF(SUMPRODUCT((LEN($D$40:$D$45)&gt;0)*(LEN($E$40:$E$45)&gt;0))=0,"",IFERROR(INDEX($AN$40:$AN$43,MATCH(LARGE($AP$40:$AP$43,2),$AP$40:$AP$43,0)),""))</f>
        <v>JAPAN</v>
      </c>
      <c r="H41" s="10" cm="1">
        <f t="array" ref="H41">IF(SUMPRODUCT((LEN($D$40:$D$45)&gt;0)*(LEN($E$40:$E$45)&gt;0))=0,"",IFERROR(INDEX($AO$40:$AO$43,MATCH(LARGE($AP$40:$AP$43,2),$AP$40:$AP$43,0)),""))</f>
        <v>5</v>
      </c>
      <c r="J41" s="11" t="s">
        <v>17</v>
      </c>
      <c r="K41" s="12" t="str">
        <f>_xlfn.XLOOKUP(J41,$F$5:$F$85,$G$5:$G$85, "")</f>
        <v>ECUADOR</v>
      </c>
      <c r="L41" s="60">
        <v>2</v>
      </c>
      <c r="M41" s="62" t="s">
        <v>74</v>
      </c>
      <c r="N41" s="4"/>
      <c r="O41" s="4"/>
      <c r="P41" s="4"/>
      <c r="Q41" s="4"/>
      <c r="R41" s="4"/>
      <c r="S41" s="4"/>
      <c r="T41" s="4"/>
      <c r="U41" s="4"/>
      <c r="V41" s="4"/>
      <c r="W41" s="4"/>
      <c r="X41" s="4"/>
      <c r="Y41" s="4"/>
      <c r="Z41" s="4"/>
      <c r="AA41" s="4"/>
      <c r="AB41" s="4"/>
      <c r="AD41" s="64"/>
      <c r="AE41" s="64"/>
      <c r="AF41" s="64"/>
      <c r="AG41" s="64"/>
      <c r="AN41" s="34" t="str">
        <f>C40</f>
        <v>JAPAN</v>
      </c>
      <c r="AO41" s="34" cm="1">
        <f t="array" ref="AO41">3*SUMPRODUCT(($B$40:$B$45=AN41)*($D$40:$D$45&gt;$E$40:$E$45))+3*SUMPRODUCT(($C$40:$C$45=AN41)*($E$40:$E$45&gt;$D$40:$D$45))+SUMPRODUCT((($B$40:$B$45=AN41)+($C$40:$C$45=AN41))*($D$40:$D$45=$E$40:$E$45)*(LEN($D$40:$D$45)&gt;0))</f>
        <v>5</v>
      </c>
      <c r="AP41" s="34">
        <f>AO41*1000000+(AQ41-AR41)*1000+AQ41*10-1</f>
        <v>5001049</v>
      </c>
      <c r="AQ41" s="34" cm="1">
        <f t="array" ref="AQ41">SUMPRODUCT(($B$40:$B$45=AN41)*$D$40:$D$45)+SUMPRODUCT(($C$40:$C$45=AN41)*$E$40:$E$45)</f>
        <v>5</v>
      </c>
      <c r="AR41" s="34" cm="1">
        <f t="array" ref="AR41">SUMPRODUCT(($B$40:$B$45=AN41)*$E$40:$E$45)+SUMPRODUCT(($C$40:$C$45=AN41)*$D$40:$D$45)</f>
        <v>4</v>
      </c>
      <c r="AW41" s="35"/>
      <c r="AX41" s="3"/>
      <c r="AY41" s="3"/>
      <c r="AZ41" s="3"/>
    </row>
    <row r="42" spans="1:52" ht="20.100000000000001" customHeight="1" x14ac:dyDescent="0.2">
      <c r="A42" s="5"/>
      <c r="B42" s="7" t="s">
        <v>632</v>
      </c>
      <c r="C42" s="7" t="s">
        <v>633</v>
      </c>
      <c r="D42" s="40">
        <v>3</v>
      </c>
      <c r="E42" s="41">
        <v>1</v>
      </c>
      <c r="F42" s="26" t="s">
        <v>22</v>
      </c>
      <c r="G42" s="17" t="str" cm="1">
        <f t="array" ref="G42">IF(SUMPRODUCT((LEN($D$40:$D$45)&gt;0)*(LEN($E$40:$E$45)&gt;0))=0,"",IFERROR(INDEX($AN$40:$AN$43,MATCH(LARGE($AP$40:$AP$43,3),$AP$40:$AP$43,0)),""))</f>
        <v>SWEDEN</v>
      </c>
      <c r="H42" s="17" cm="1">
        <f t="array" ref="H42">IF(SUMPRODUCT((LEN($D$40:$D$45)&gt;0)*(LEN($E$40:$E$45)&gt;0))=0,"",IFERROR(INDEX($AO$40:$AO$43,MATCH(LARGE($AP$40:$AP$43,3),$AP$40:$AP$43,0)),""))</f>
        <v>2</v>
      </c>
      <c r="J42" s="14" t="s">
        <v>50</v>
      </c>
      <c r="K42" s="15" t="str">
        <f>_xlfn.XLOOKUP(J42,$F$5:$F$85,$G$5:$G$85, "")</f>
        <v>NORWAY</v>
      </c>
      <c r="L42" s="61"/>
      <c r="M42" s="63"/>
      <c r="N42" s="4"/>
      <c r="O42" s="4"/>
      <c r="P42" s="4"/>
      <c r="Q42" s="4"/>
      <c r="R42" s="4"/>
      <c r="S42" s="4"/>
      <c r="T42" s="4"/>
      <c r="U42" s="4"/>
      <c r="V42" s="4"/>
      <c r="W42" s="4"/>
      <c r="X42" s="4"/>
      <c r="Y42" s="4"/>
      <c r="Z42" s="4"/>
      <c r="AA42" s="4"/>
      <c r="AB42" s="4"/>
      <c r="AI42" s="64" t="s">
        <v>597</v>
      </c>
      <c r="AJ42" s="64"/>
      <c r="AK42" s="64"/>
      <c r="AL42" s="64"/>
      <c r="AN42" s="34" t="str">
        <f>B41</f>
        <v>SWEDEN</v>
      </c>
      <c r="AO42" s="34" cm="1">
        <f t="array" ref="AO42">3*SUMPRODUCT(($B$40:$B$45=AN42)*($D$40:$D$45&gt;$E$40:$E$45))+3*SUMPRODUCT(($C$40:$C$45=AN42)*($E$40:$E$45&gt;$D$40:$D$45))+SUMPRODUCT((($B$40:$B$45=AN42)+($C$40:$C$45=AN42))*($D$40:$D$45=$E$40:$E$45)*(LEN($D$40:$D$45)&gt;0))</f>
        <v>2</v>
      </c>
      <c r="AP42" s="34">
        <f>AO42*1000000+(AQ42-AR42)*1000+AQ42*10-2</f>
        <v>1998028</v>
      </c>
      <c r="AQ42" s="34" cm="1">
        <f t="array" ref="AQ42">SUMPRODUCT(($B$40:$B$45=AN42)*$D$40:$D$45)+SUMPRODUCT(($C$40:$C$45=AN42)*$E$40:$E$45)</f>
        <v>3</v>
      </c>
      <c r="AR42" s="34" cm="1">
        <f t="array" ref="AR42">SUMPRODUCT(($B$40:$B$45=AN42)*$E$40:$E$45)+SUMPRODUCT(($C$40:$C$45=AN42)*$D$40:$D$45)</f>
        <v>5</v>
      </c>
      <c r="AW42" s="35"/>
      <c r="AX42" s="3"/>
      <c r="AY42" s="3"/>
      <c r="AZ42" s="3"/>
    </row>
    <row r="43" spans="1:52" ht="20.100000000000001" customHeight="1" x14ac:dyDescent="0.2">
      <c r="A43" s="5"/>
      <c r="B43" s="7" t="s">
        <v>634</v>
      </c>
      <c r="C43" s="7" t="s">
        <v>635</v>
      </c>
      <c r="D43" s="40">
        <v>1</v>
      </c>
      <c r="E43" s="41">
        <v>2</v>
      </c>
      <c r="F43" s="27" t="s">
        <v>23</v>
      </c>
      <c r="G43" s="7" t="str" cm="1">
        <f t="array" ref="G43">IF(SUMPRODUCT((LEN($D$40:$D$45)&gt;0)*(LEN($E$40:$E$45)&gt;0))=0,"",IFERROR(INDEX($AN$40:$AN$43,MATCH(LARGE($AP$40:$AP$43,4),$AP$40:$AP$43,0)),""))</f>
        <v>TUNISIA</v>
      </c>
      <c r="H43" s="7" cm="1">
        <f t="array" ref="H43">IF(SUMPRODUCT((LEN($D$40:$D$45)&gt;0)*(LEN($E$40:$E$45)&gt;0))=0,"",IFERROR(INDEX($AO$40:$AO$43,MATCH(LARGE($AP$40:$AP$43,4),$AP$40:$AP$43,0)),""))</f>
        <v>1</v>
      </c>
      <c r="J43" s="4"/>
      <c r="K43" s="4"/>
      <c r="L43" s="4"/>
      <c r="M43" s="4"/>
      <c r="N43" s="4"/>
      <c r="O43" s="4"/>
      <c r="P43" s="4"/>
      <c r="Q43" s="4"/>
      <c r="R43" s="4"/>
      <c r="S43" s="4"/>
      <c r="T43" s="11" t="s">
        <v>28</v>
      </c>
      <c r="U43" s="12" t="str">
        <f>IF(Q39="","",IF(Q39=1, P39, P40))</f>
        <v>NORWAY</v>
      </c>
      <c r="V43" s="60">
        <v>1</v>
      </c>
      <c r="W43" s="62" t="s">
        <v>34</v>
      </c>
      <c r="X43" s="4"/>
      <c r="Y43" s="4"/>
      <c r="Z43" s="4"/>
      <c r="AA43" s="4"/>
      <c r="AB43" s="4"/>
      <c r="AD43" s="11" t="s">
        <v>81</v>
      </c>
      <c r="AE43" s="12" t="str">
        <f>IF(AA19="","",IF(AA19=1, Z20, Z19))</f>
        <v>SPAIN</v>
      </c>
      <c r="AF43" s="60">
        <v>1</v>
      </c>
      <c r="AG43" s="62" t="s">
        <v>83</v>
      </c>
      <c r="AI43" s="64"/>
      <c r="AJ43" s="64"/>
      <c r="AK43" s="64"/>
      <c r="AL43" s="64"/>
      <c r="AN43" s="34" t="str">
        <f>C41</f>
        <v>TUNISIA</v>
      </c>
      <c r="AO43" s="34" cm="1">
        <f t="array" ref="AO43">3*SUMPRODUCT(($B$40:$B$45=AN43)*($D$40:$D$45&gt;$E$40:$E$45))+3*SUMPRODUCT(($C$40:$C$45=AN43)*($E$40:$E$45&gt;$D$40:$D$45))+SUMPRODUCT((($B$40:$B$45=AN43)+($C$40:$C$45=AN43))*($D$40:$D$45=$E$40:$E$45)*(LEN($D$40:$D$45)&gt;0))</f>
        <v>1</v>
      </c>
      <c r="AP43" s="34">
        <f>AO43*1000000+(AQ43-AR43)*1000+AQ43*10-3</f>
        <v>997027</v>
      </c>
      <c r="AQ43" s="34" cm="1">
        <f t="array" ref="AQ43">SUMPRODUCT(($B$40:$B$45=AN43)*$D$40:$D$45)+SUMPRODUCT(($C$40:$C$45=AN43)*$E$40:$E$45)</f>
        <v>3</v>
      </c>
      <c r="AR43" s="34" cm="1">
        <f t="array" ref="AR43">SUMPRODUCT(($B$40:$B$45=AN43)*$E$40:$E$45)+SUMPRODUCT(($C$40:$C$45=AN43)*$D$40:$D$45)</f>
        <v>6</v>
      </c>
      <c r="AW43" s="35"/>
      <c r="AX43" s="3"/>
      <c r="AY43" s="3"/>
      <c r="AZ43" s="3"/>
    </row>
    <row r="44" spans="1:52" ht="20.100000000000001" customHeight="1" x14ac:dyDescent="0.2">
      <c r="A44" s="5"/>
      <c r="B44" s="7" t="s">
        <v>635</v>
      </c>
      <c r="C44" s="7" t="s">
        <v>633</v>
      </c>
      <c r="D44" s="40">
        <v>1</v>
      </c>
      <c r="E44" s="41">
        <v>1</v>
      </c>
      <c r="H44" s="28"/>
      <c r="J44" s="4"/>
      <c r="K44" s="4"/>
      <c r="L44" s="4"/>
      <c r="M44" s="4"/>
      <c r="N44" s="4"/>
      <c r="O44" s="4"/>
      <c r="P44" s="4"/>
      <c r="Q44" s="4"/>
      <c r="R44" s="4"/>
      <c r="S44" s="4"/>
      <c r="T44" s="14" t="s">
        <v>29</v>
      </c>
      <c r="U44" s="15" t="str">
        <f>IF(Q47="","",IF(Q47=1, P47, P48))</f>
        <v>ENGLAND</v>
      </c>
      <c r="V44" s="61"/>
      <c r="W44" s="63"/>
      <c r="X44" s="4"/>
      <c r="Y44" s="4"/>
      <c r="Z44" s="4"/>
      <c r="AA44" s="4"/>
      <c r="AB44" s="4"/>
      <c r="AD44" s="14" t="s">
        <v>82</v>
      </c>
      <c r="AE44" s="15" t="str">
        <f>IF(AA51="","",IF(AA51=1, Z52, Z51))</f>
        <v>NORWAY</v>
      </c>
      <c r="AF44" s="61"/>
      <c r="AG44" s="63"/>
      <c r="AI44" s="65" t="s">
        <v>670</v>
      </c>
      <c r="AJ44" s="65"/>
      <c r="AK44" s="65">
        <v>8</v>
      </c>
      <c r="AL44" s="65"/>
      <c r="AW44" s="35"/>
      <c r="AX44" s="3"/>
      <c r="AY44" s="3"/>
      <c r="AZ44" s="3"/>
    </row>
    <row r="45" spans="1:52" ht="20.100000000000001" customHeight="1" x14ac:dyDescent="0.2">
      <c r="A45" s="5"/>
      <c r="B45" s="7" t="s">
        <v>634</v>
      </c>
      <c r="C45" s="7" t="s">
        <v>632</v>
      </c>
      <c r="D45" s="40">
        <v>1</v>
      </c>
      <c r="E45" s="41">
        <v>3</v>
      </c>
      <c r="F45" s="23"/>
      <c r="G45" s="23"/>
      <c r="H45" s="24"/>
      <c r="J45" s="11" t="s">
        <v>0</v>
      </c>
      <c r="K45" s="12" t="str">
        <f>_xlfn.XLOOKUP(J45,$F$5:$F$85,$G$5:$G$85, "")</f>
        <v>MEXICO</v>
      </c>
      <c r="L45" s="60">
        <v>2</v>
      </c>
      <c r="M45" s="62" t="s">
        <v>75</v>
      </c>
      <c r="N45" s="4"/>
      <c r="O45" s="4"/>
      <c r="P45" s="4"/>
      <c r="Q45" s="4"/>
      <c r="R45" s="4"/>
      <c r="S45" s="4"/>
      <c r="T45" s="4"/>
      <c r="U45" s="4"/>
      <c r="V45" s="4"/>
      <c r="W45" s="4"/>
      <c r="X45" s="4"/>
      <c r="Y45" s="4"/>
      <c r="Z45" s="4"/>
      <c r="AA45" s="4"/>
      <c r="AB45" s="4"/>
      <c r="AW45" s="35"/>
      <c r="AX45" s="3"/>
      <c r="AY45" s="3"/>
      <c r="AZ45" s="3"/>
    </row>
    <row r="46" spans="1:52" ht="20.100000000000001" customHeight="1" x14ac:dyDescent="0.2">
      <c r="B46" s="67" t="s">
        <v>604</v>
      </c>
      <c r="C46" s="68"/>
      <c r="D46" s="68"/>
      <c r="E46" s="68"/>
      <c r="F46" s="68"/>
      <c r="G46" s="68"/>
      <c r="H46" s="69"/>
      <c r="J46" s="14" t="str">
        <f>AU23</f>
        <v>3E</v>
      </c>
      <c r="K46" s="15" t="str">
        <f>_xlfn.XLOOKUP(J46,$F$5:$F$85,$G$5:$G$85, "")</f>
        <v>IVORY COAST</v>
      </c>
      <c r="L46" s="61"/>
      <c r="M46" s="63"/>
      <c r="AW46" s="35"/>
      <c r="AX46" s="3"/>
      <c r="AY46" s="3"/>
      <c r="AZ46" s="3"/>
    </row>
    <row r="47" spans="1:52" ht="20.100000000000001" customHeight="1" x14ac:dyDescent="0.2">
      <c r="B47" s="7" t="s">
        <v>636</v>
      </c>
      <c r="C47" s="7" t="s">
        <v>639</v>
      </c>
      <c r="D47" s="38">
        <v>2</v>
      </c>
      <c r="E47" s="39">
        <v>0</v>
      </c>
      <c r="F47" s="25" t="s">
        <v>41</v>
      </c>
      <c r="G47" s="10" t="str" cm="1">
        <f t="array" ref="G47">IF(SUMPRODUCT((LEN($D$47:$D$52)&gt;0)*(LEN($E$47:$E$52)&gt;0))=0,"",IFERROR(INDEX($AN$47:$AN$50,MATCH(LARGE($AP$47:$AP$50,1),$AP$47:$AP$50,0)),""))</f>
        <v>BELGIUM</v>
      </c>
      <c r="H47" s="10" cm="1">
        <f t="array" ref="H47">IF(SUMPRODUCT((LEN($D$47:$D$52)&gt;0)*(LEN($E$47:$E$52)&gt;0))=0,"",IFERROR(INDEX($AO$47:$AO$50,MATCH(LARGE($AP$47:$AP$50,1),$AP$47:$AP$50,0)),""))</f>
        <v>9</v>
      </c>
      <c r="O47" s="11" t="s">
        <v>75</v>
      </c>
      <c r="P47" s="12" t="str">
        <f>IF(L45="","",IF(L45=1, K45, K46))</f>
        <v>IVORY COAST</v>
      </c>
      <c r="Q47" s="60">
        <v>2</v>
      </c>
      <c r="R47" s="62" t="s">
        <v>29</v>
      </c>
      <c r="AN47" s="34" t="str">
        <f>B47</f>
        <v>BELGIUM</v>
      </c>
      <c r="AO47" s="34" cm="1">
        <f t="array" ref="AO47">3*SUMPRODUCT(($B$47:$B$52=AN47)*($D$47:$D$52&gt;$E$47:$E$52))+3*SUMPRODUCT(($C$47:$C$52=AN47)*($E$47:$E$52&gt;$D$47:$D$52))+SUMPRODUCT((($B$47:$B$52=AN47)+($C$47:$C$52=AN47))*($D$47:$D$52=$E$47:$E$52)*(LEN($D$47:$D$52)&gt;0))</f>
        <v>9</v>
      </c>
      <c r="AP47" s="34">
        <f>AO47*1000000+(AQ47-AR47)*1000+AQ47*10-0</f>
        <v>9007070</v>
      </c>
      <c r="AQ47" s="34" cm="1">
        <f t="array" ref="AQ47">SUMPRODUCT(($B$47:$B$52=AN47)*$D$47:$D$52)+SUMPRODUCT(($C$47:$C$52=AN47)*$E$47:$E$52)</f>
        <v>7</v>
      </c>
      <c r="AR47" s="34" cm="1">
        <f t="array" ref="AR47">SUMPRODUCT(($B$47:$B$52=AN47)*$E$47:$E$52)+SUMPRODUCT(($C$47:$C$52=AN47)*$D$47:$D$52)</f>
        <v>0</v>
      </c>
      <c r="AW47" s="35"/>
      <c r="AX47" s="3"/>
      <c r="AY47" s="3"/>
      <c r="AZ47" s="3"/>
    </row>
    <row r="48" spans="1:52" ht="20.100000000000001" customHeight="1" x14ac:dyDescent="0.2">
      <c r="B48" s="7" t="s">
        <v>637</v>
      </c>
      <c r="C48" s="7" t="s">
        <v>638</v>
      </c>
      <c r="D48" s="40">
        <v>1</v>
      </c>
      <c r="E48" s="41">
        <v>0</v>
      </c>
      <c r="F48" s="25" t="s">
        <v>42</v>
      </c>
      <c r="G48" s="10" t="str" cm="1">
        <f t="array" ref="G48">IF(SUMPRODUCT((LEN($D$47:$D$52)&gt;0)*(LEN($E$47:$E$52)&gt;0))=0,"",IFERROR(INDEX($AN$47:$AN$50,MATCH(LARGE($AP$47:$AP$50,2),$AP$47:$AP$50,0)),""))</f>
        <v>EGYPT</v>
      </c>
      <c r="H48" s="10" cm="1">
        <f t="array" ref="H48">IF(SUMPRODUCT((LEN($D$47:$D$52)&gt;0)*(LEN($E$47:$E$52)&gt;0))=0,"",IFERROR(INDEX($AO$47:$AO$50,MATCH(LARGE($AP$47:$AP$50,2),$AP$47:$AP$50,0)),""))</f>
        <v>4</v>
      </c>
      <c r="O48" s="14" t="s">
        <v>76</v>
      </c>
      <c r="P48" s="15" t="str">
        <f>IF(L49="","",IF(L49=1, K49, K50))</f>
        <v>ENGLAND</v>
      </c>
      <c r="Q48" s="61"/>
      <c r="R48" s="63"/>
      <c r="AN48" s="34" t="str">
        <f>C47</f>
        <v>EGYPT</v>
      </c>
      <c r="AO48" s="34" cm="1">
        <f t="array" ref="AO48">3*SUMPRODUCT(($B$47:$B$52=AN48)*($D$47:$D$52&gt;$E$47:$E$52))+3*SUMPRODUCT(($C$47:$C$52=AN48)*($E$47:$E$52&gt;$D$47:$D$52))+SUMPRODUCT((($B$47:$B$52=AN48)+($C$47:$C$52=AN48))*($D$47:$D$52=$E$47:$E$52)*(LEN($D$47:$D$52)&gt;0))</f>
        <v>4</v>
      </c>
      <c r="AP48" s="34">
        <f>AO48*1000000+(AQ48-AR48)*1000+AQ48*10-1</f>
        <v>4000019</v>
      </c>
      <c r="AQ48" s="34" cm="1">
        <f t="array" ref="AQ48">SUMPRODUCT(($B$47:$B$52=AN48)*$D$47:$D$52)+SUMPRODUCT(($C$47:$C$52=AN48)*$E$47:$E$52)</f>
        <v>2</v>
      </c>
      <c r="AR48" s="34" cm="1">
        <f t="array" ref="AR48">SUMPRODUCT(($B$47:$B$52=AN48)*$E$47:$E$52)+SUMPRODUCT(($C$47:$C$52=AN48)*$D$47:$D$52)</f>
        <v>2</v>
      </c>
      <c r="AW48" s="35"/>
      <c r="AX48" s="3"/>
      <c r="AY48" s="3"/>
      <c r="AZ48" s="3"/>
    </row>
    <row r="49" spans="2:52" ht="20.100000000000001" customHeight="1" x14ac:dyDescent="0.2">
      <c r="B49" s="7" t="s">
        <v>636</v>
      </c>
      <c r="C49" s="7" t="s">
        <v>637</v>
      </c>
      <c r="D49" s="40">
        <v>2</v>
      </c>
      <c r="E49" s="41">
        <v>0</v>
      </c>
      <c r="F49" s="26" t="s">
        <v>43</v>
      </c>
      <c r="G49" s="17" t="str" cm="1">
        <f t="array" ref="G49">IF(SUMPRODUCT((LEN($D$47:$D$52)&gt;0)*(LEN($E$47:$E$52)&gt;0))=0,"",IFERROR(INDEX($AN$47:$AN$50,MATCH(LARGE($AP$47:$AP$50,3),$AP$47:$AP$50,0)),""))</f>
        <v>IRAN</v>
      </c>
      <c r="H49" s="17" cm="1">
        <f t="array" ref="H49">IF(SUMPRODUCT((LEN($D$47:$D$52)&gt;0)*(LEN($E$47:$E$52)&gt;0))=0,"",IFERROR(INDEX($AO$47:$AO$50,MATCH(LARGE($AP$47:$AP$50,3),$AP$47:$AP$50,0)),""))</f>
        <v>4</v>
      </c>
      <c r="J49" s="11" t="s">
        <v>61</v>
      </c>
      <c r="K49" s="12" t="str">
        <f>_xlfn.XLOOKUP(J49,$F$5:$F$85,$G$5:$G$85, "")</f>
        <v>ENGLAND</v>
      </c>
      <c r="L49" s="60">
        <v>1</v>
      </c>
      <c r="M49" s="62" t="s">
        <v>76</v>
      </c>
      <c r="O49" s="30"/>
      <c r="P49" s="30"/>
      <c r="Q49" s="30"/>
      <c r="R49" s="30"/>
      <c r="S49" s="30"/>
      <c r="T49" s="30"/>
      <c r="U49" s="30"/>
      <c r="V49" s="30"/>
      <c r="W49" s="30"/>
      <c r="AN49" s="34" t="str">
        <f>B48</f>
        <v>IRAN</v>
      </c>
      <c r="AO49" s="34" cm="1">
        <f t="array" ref="AO49">3*SUMPRODUCT(($B$47:$B$52=AN49)*($D$47:$D$52&gt;$E$47:$E$52))+3*SUMPRODUCT(($C$47:$C$52=AN49)*($E$47:$E$52&gt;$D$47:$D$52))+SUMPRODUCT((($B$47:$B$52=AN49)+($C$47:$C$52=AN49))*($D$47:$D$52=$E$47:$E$52)*(LEN($D$47:$D$52)&gt;0))</f>
        <v>4</v>
      </c>
      <c r="AP49" s="34">
        <f>AO49*1000000+(AQ49-AR49)*1000+AQ49*10-2</f>
        <v>3999008</v>
      </c>
      <c r="AQ49" s="34" cm="1">
        <f t="array" ref="AQ49">SUMPRODUCT(($B$47:$B$52=AN49)*$D$47:$D$52)+SUMPRODUCT(($C$47:$C$52=AN49)*$E$47:$E$52)</f>
        <v>1</v>
      </c>
      <c r="AR49" s="34" cm="1">
        <f t="array" ref="AR49">SUMPRODUCT(($B$47:$B$52=AN49)*$E$47:$E$52)+SUMPRODUCT(($C$47:$C$52=AN49)*$D$47:$D$52)</f>
        <v>2</v>
      </c>
      <c r="AW49" s="35"/>
      <c r="AX49" s="3"/>
      <c r="AY49" s="3"/>
      <c r="AZ49" s="3"/>
    </row>
    <row r="50" spans="2:52" ht="20.100000000000001" customHeight="1" x14ac:dyDescent="0.2">
      <c r="B50" s="7" t="s">
        <v>638</v>
      </c>
      <c r="C50" s="7" t="s">
        <v>639</v>
      </c>
      <c r="D50" s="40">
        <v>0</v>
      </c>
      <c r="E50" s="41">
        <v>2</v>
      </c>
      <c r="F50" s="27" t="s">
        <v>44</v>
      </c>
      <c r="G50" s="7" t="str" cm="1">
        <f t="array" ref="G50">IF(SUMPRODUCT((LEN($D$47:$D$52)&gt;0)*(LEN($E$47:$E$52)&gt;0))=0,"",IFERROR(INDEX($AN$47:$AN$50,MATCH(LARGE($AP$47:$AP$50,4),$AP$47:$AP$50,0)),""))</f>
        <v>NEW ZEALAND</v>
      </c>
      <c r="H50" s="7" cm="1">
        <f t="array" ref="H50">IF(SUMPRODUCT((LEN($D$47:$D$52)&gt;0)*(LEN($E$47:$E$52)&gt;0))=0,"",IFERROR(INDEX($AO$47:$AO$50,MATCH(LARGE($AP$47:$AP$50,4),$AP$47:$AP$50,0)),""))</f>
        <v>0</v>
      </c>
      <c r="J50" s="14" t="str">
        <f>AU30</f>
        <v>3K</v>
      </c>
      <c r="K50" s="15" t="str">
        <f>_xlfn.XLOOKUP(J50,$F$5:$F$85,$G$5:$G$85, "")</f>
        <v>DR CONGO</v>
      </c>
      <c r="L50" s="61"/>
      <c r="M50" s="63"/>
      <c r="AN50" s="34" t="str">
        <f>C48</f>
        <v>NEW ZEALAND</v>
      </c>
      <c r="AO50" s="34" cm="1">
        <f t="array" ref="AO50">3*SUMPRODUCT(($B$47:$B$52=AN50)*($D$47:$D$52&gt;$E$47:$E$52))+3*SUMPRODUCT(($C$47:$C$52=AN50)*($E$47:$E$52&gt;$D$47:$D$52))+SUMPRODUCT((($B$47:$B$52=AN50)+($C$47:$C$52=AN50))*($D$47:$D$52=$E$47:$E$52)*(LEN($D$47:$D$52)&gt;0))</f>
        <v>0</v>
      </c>
      <c r="AP50" s="34">
        <f>AO50*1000000+(AQ50-AR50)*1000+AQ50*10-3</f>
        <v>-6003</v>
      </c>
      <c r="AQ50" s="34" cm="1">
        <f t="array" ref="AQ50">SUMPRODUCT(($B$47:$B$52=AN50)*$D$47:$D$52)+SUMPRODUCT(($C$47:$C$52=AN50)*$E$47:$E$52)</f>
        <v>0</v>
      </c>
      <c r="AR50" s="34" cm="1">
        <f t="array" ref="AR50">SUMPRODUCT(($B$47:$B$52=AN50)*$E$47:$E$52)+SUMPRODUCT(($C$47:$C$52=AN50)*$D$47:$D$52)</f>
        <v>6</v>
      </c>
      <c r="AW50" s="35"/>
      <c r="AX50" s="3"/>
      <c r="AY50" s="3"/>
      <c r="AZ50" s="3"/>
    </row>
    <row r="51" spans="2:52" ht="20.100000000000001" customHeight="1" x14ac:dyDescent="0.2">
      <c r="B51" s="7" t="s">
        <v>639</v>
      </c>
      <c r="C51" s="7" t="s">
        <v>637</v>
      </c>
      <c r="D51" s="40">
        <v>0</v>
      </c>
      <c r="E51" s="41">
        <v>0</v>
      </c>
      <c r="H51" s="28"/>
      <c r="Y51" s="11" t="s">
        <v>34</v>
      </c>
      <c r="Z51" s="12" t="str">
        <f>IF(V43="","",IF(V43=1, U43, U44))</f>
        <v>NORWAY</v>
      </c>
      <c r="AA51" s="60">
        <v>2</v>
      </c>
      <c r="AB51" s="62" t="s">
        <v>37</v>
      </c>
      <c r="AW51" s="35"/>
      <c r="AX51" s="3"/>
      <c r="AY51" s="3"/>
      <c r="AZ51" s="3"/>
    </row>
    <row r="52" spans="2:52" ht="20.100000000000001" customHeight="1" x14ac:dyDescent="0.2">
      <c r="B52" s="7" t="s">
        <v>638</v>
      </c>
      <c r="C52" s="7" t="s">
        <v>636</v>
      </c>
      <c r="D52" s="40">
        <v>0</v>
      </c>
      <c r="E52" s="41">
        <v>3</v>
      </c>
      <c r="F52" s="23"/>
      <c r="G52" s="23"/>
      <c r="H52" s="24"/>
      <c r="Y52" s="14" t="s">
        <v>35</v>
      </c>
      <c r="Z52" s="15" t="str">
        <f>IF(V59="","",IF(V59=1, U59, U60))</f>
        <v>PORTUGAL</v>
      </c>
      <c r="AA52" s="61"/>
      <c r="AB52" s="63"/>
      <c r="AW52" s="35"/>
      <c r="AX52" s="3"/>
      <c r="AY52" s="3"/>
      <c r="AZ52" s="3"/>
    </row>
    <row r="53" spans="2:52" ht="20.100000000000001" customHeight="1" x14ac:dyDescent="0.2">
      <c r="B53" s="67" t="s">
        <v>605</v>
      </c>
      <c r="C53" s="68"/>
      <c r="D53" s="68"/>
      <c r="E53" s="68"/>
      <c r="F53" s="68"/>
      <c r="G53" s="68"/>
      <c r="H53" s="69"/>
      <c r="J53" s="11" t="s">
        <v>53</v>
      </c>
      <c r="K53" s="12" t="str">
        <f>_xlfn.XLOOKUP(J53,$F$5:$F$85,$G$5:$G$85, "")</f>
        <v>ARGENTINA</v>
      </c>
      <c r="L53" s="60">
        <v>1</v>
      </c>
      <c r="M53" s="62" t="s">
        <v>77</v>
      </c>
      <c r="AW53" s="35"/>
      <c r="AX53" s="3"/>
      <c r="AY53" s="3"/>
      <c r="AZ53" s="3"/>
    </row>
    <row r="54" spans="2:52" ht="20.100000000000001" customHeight="1" x14ac:dyDescent="0.2">
      <c r="B54" s="7" t="s">
        <v>640</v>
      </c>
      <c r="C54" s="7" t="s">
        <v>643</v>
      </c>
      <c r="D54" s="38">
        <v>5</v>
      </c>
      <c r="E54" s="39">
        <v>0</v>
      </c>
      <c r="F54" s="25" t="s">
        <v>45</v>
      </c>
      <c r="G54" s="10" t="str" cm="1">
        <f t="array" ref="G54">IF(SUMPRODUCT((LEN($D$54:$D$59)&gt;0)*(LEN($E$54:$E$59)&gt;0))=0,"",IFERROR(INDEX($AN$54:$AN$57,MATCH(LARGE($AP$54:$AP$57,1),$AP$54:$AP$57,0)),""))</f>
        <v>SPAIN</v>
      </c>
      <c r="H54" s="10" cm="1">
        <f t="array" ref="H54">IF(SUMPRODUCT((LEN($D$54:$D$59)&gt;0)*(LEN($E$54:$E$59)&gt;0))=0,"",IFERROR(INDEX($AO$54:$AO$57,MATCH(LARGE($AP$54:$AP$57,1),$AP$54:$AP$57,0)),""))</f>
        <v>9</v>
      </c>
      <c r="J54" s="14" t="s">
        <v>46</v>
      </c>
      <c r="K54" s="15" t="str">
        <f>_xlfn.XLOOKUP(J54,$F$5:$F$85,$G$5:$G$85, "")</f>
        <v>URUGUAY</v>
      </c>
      <c r="L54" s="61"/>
      <c r="M54" s="63"/>
      <c r="AN54" s="34" t="str">
        <f>B54</f>
        <v>SPAIN</v>
      </c>
      <c r="AO54" s="34" cm="1">
        <f t="array" ref="AO54">3*SUMPRODUCT(($B$54:$B$59=AN54)*($D$54:$D$59&gt;$E$54:$E$59))+3*SUMPRODUCT(($C$54:$C$59=AN54)*($E$54:$E$59&gt;$D$54:$D$59))+SUMPRODUCT((($B$54:$B$59=AN54)+($C$54:$C$59=AN54))*($D$54:$D$59=$E$54:$E$59)*(LEN($D$54:$D$59)&gt;0))</f>
        <v>9</v>
      </c>
      <c r="AP54" s="34">
        <f>AO54*1000000+(AQ54-AR54)*1000+AQ54*10-0</f>
        <v>9009110</v>
      </c>
      <c r="AQ54" s="34" cm="1">
        <f t="array" ref="AQ54">SUMPRODUCT(($B$54:$B$59=AN54)*$D$54:$D$59)+SUMPRODUCT(($C$54:$C$59=AN54)*$E$54:$E$59)</f>
        <v>11</v>
      </c>
      <c r="AR54" s="34" cm="1">
        <f t="array" ref="AR54">SUMPRODUCT(($B$54:$B$59=AN54)*$E$54:$E$59)+SUMPRODUCT(($C$54:$C$59=AN54)*$D$54:$D$59)</f>
        <v>2</v>
      </c>
      <c r="AW54" s="35"/>
      <c r="AX54" s="3"/>
      <c r="AY54" s="3"/>
      <c r="AZ54" s="3"/>
    </row>
    <row r="55" spans="2:52" ht="20.100000000000001" customHeight="1" x14ac:dyDescent="0.2">
      <c r="B55" s="7" t="s">
        <v>641</v>
      </c>
      <c r="C55" s="7" t="s">
        <v>642</v>
      </c>
      <c r="D55" s="40">
        <v>0</v>
      </c>
      <c r="E55" s="41">
        <v>2</v>
      </c>
      <c r="F55" s="25" t="s">
        <v>46</v>
      </c>
      <c r="G55" s="10" t="str" cm="1">
        <f t="array" ref="G55">IF(SUMPRODUCT((LEN($D$54:$D$59)&gt;0)*(LEN($E$54:$E$59)&gt;0))=0,"",IFERROR(INDEX($AN$54:$AN$57,MATCH(LARGE($AP$54:$AP$57,2),$AP$54:$AP$57,0)),""))</f>
        <v>URUGUAY</v>
      </c>
      <c r="H55" s="10" cm="1">
        <f t="array" ref="H55">IF(SUMPRODUCT((LEN($D$54:$D$59)&gt;0)*(LEN($E$54:$E$59)&gt;0))=0,"",IFERROR(INDEX($AO$54:$AO$57,MATCH(LARGE($AP$54:$AP$57,2),$AP$54:$AP$57,0)),""))</f>
        <v>6</v>
      </c>
      <c r="O55" s="11" t="s">
        <v>77</v>
      </c>
      <c r="P55" s="12" t="str">
        <f>IF(L53="","",IF(L53=1, K53, K54))</f>
        <v>ARGENTINA</v>
      </c>
      <c r="Q55" s="60">
        <v>1</v>
      </c>
      <c r="R55" s="62" t="s">
        <v>30</v>
      </c>
      <c r="AD55" s="51" t="s">
        <v>668</v>
      </c>
      <c r="AE55" s="52"/>
      <c r="AF55" s="52"/>
      <c r="AG55" s="52"/>
      <c r="AH55" s="52"/>
      <c r="AI55" s="52"/>
      <c r="AJ55" s="52"/>
      <c r="AK55" s="52"/>
      <c r="AL55" s="53"/>
      <c r="AN55" s="34" t="str">
        <f>C54</f>
        <v>CAPO VERDE</v>
      </c>
      <c r="AO55" s="34" cm="1">
        <f t="array" ref="AO55">3*SUMPRODUCT(($B$54:$B$59=AN55)*($D$54:$D$59&gt;$E$54:$E$59))+3*SUMPRODUCT(($C$54:$C$59=AN55)*($E$54:$E$59&gt;$D$54:$D$59))+SUMPRODUCT((($B$54:$B$59=AN55)+($C$54:$C$59=AN55))*($D$54:$D$59=$E$54:$E$59)*(LEN($D$54:$D$59)&gt;0))</f>
        <v>1</v>
      </c>
      <c r="AP55" s="34">
        <f>AO55*1000000+(AQ55-AR55)*1000+AQ55*10-1</f>
        <v>993029</v>
      </c>
      <c r="AQ55" s="34" cm="1">
        <f t="array" ref="AQ55">SUMPRODUCT(($B$54:$B$59=AN55)*$D$54:$D$59)+SUMPRODUCT(($C$54:$C$59=AN55)*$E$54:$E$59)</f>
        <v>3</v>
      </c>
      <c r="AR55" s="34" cm="1">
        <f t="array" ref="AR55">SUMPRODUCT(($B$54:$B$59=AN55)*$E$54:$E$59)+SUMPRODUCT(($C$54:$C$59=AN55)*$D$54:$D$59)</f>
        <v>10</v>
      </c>
      <c r="AW55" s="35"/>
      <c r="AX55" s="3"/>
      <c r="AY55" s="3"/>
      <c r="AZ55" s="3"/>
    </row>
    <row r="56" spans="2:52" ht="20.100000000000001" customHeight="1" x14ac:dyDescent="0.2">
      <c r="B56" s="7" t="s">
        <v>640</v>
      </c>
      <c r="C56" s="7" t="s">
        <v>641</v>
      </c>
      <c r="D56" s="40">
        <v>3</v>
      </c>
      <c r="E56" s="41">
        <v>0</v>
      </c>
      <c r="F56" s="26" t="s">
        <v>47</v>
      </c>
      <c r="G56" s="17" t="str" cm="1">
        <f t="array" ref="G56">IF(SUMPRODUCT((LEN($D$54:$D$59)&gt;0)*(LEN($E$54:$E$59)&gt;0))=0,"",IFERROR(INDEX($AN$54:$AN$57,MATCH(LARGE($AP$54:$AP$57,3),$AP$54:$AP$57,0)),""))</f>
        <v>SAUDI ARABIA</v>
      </c>
      <c r="H56" s="17" cm="1">
        <f t="array" ref="H56">IF(SUMPRODUCT((LEN($D$54:$D$59)&gt;0)*(LEN($E$54:$E$59)&gt;0))=0,"",IFERROR(INDEX($AO$54:$AO$57,MATCH(LARGE($AP$54:$AP$57,3),$AP$54:$AP$57,0)),""))</f>
        <v>1</v>
      </c>
      <c r="O56" s="14" t="s">
        <v>78</v>
      </c>
      <c r="P56" s="15" t="str">
        <f>IF(L57="","",IF(L57=1, K57, K58))</f>
        <v>USA</v>
      </c>
      <c r="Q56" s="61"/>
      <c r="R56" s="63"/>
      <c r="AD56" s="54"/>
      <c r="AE56" s="55"/>
      <c r="AF56" s="55"/>
      <c r="AG56" s="55"/>
      <c r="AH56" s="55"/>
      <c r="AI56" s="55"/>
      <c r="AJ56" s="55"/>
      <c r="AK56" s="55"/>
      <c r="AL56" s="56"/>
      <c r="AN56" s="34" t="str">
        <f>B55</f>
        <v>SAUDI ARABIA</v>
      </c>
      <c r="AO56" s="34" cm="1">
        <f t="array" ref="AO56">3*SUMPRODUCT(($B$54:$B$59=AN56)*($D$54:$D$59&gt;$E$54:$E$59))+3*SUMPRODUCT(($C$54:$C$59=AN56)*($E$54:$E$59&gt;$D$54:$D$59))+SUMPRODUCT((($B$54:$B$59=AN56)+($C$54:$C$59=AN56))*($D$54:$D$59=$E$54:$E$59)*(LEN($D$54:$D$59)&gt;0))</f>
        <v>1</v>
      </c>
      <c r="AP56" s="34">
        <f>AO56*1000000+(AQ56-AR56)*1000+AQ56*10-2</f>
        <v>995018</v>
      </c>
      <c r="AQ56" s="34" cm="1">
        <f t="array" ref="AQ56">SUMPRODUCT(($B$54:$B$59=AN56)*$D$54:$D$59)+SUMPRODUCT(($C$54:$C$59=AN56)*$E$54:$E$59)</f>
        <v>2</v>
      </c>
      <c r="AR56" s="34" cm="1">
        <f t="array" ref="AR56">SUMPRODUCT(($B$54:$B$59=AN56)*$E$54:$E$59)+SUMPRODUCT(($C$54:$C$59=AN56)*$D$54:$D$59)</f>
        <v>7</v>
      </c>
      <c r="AW56" s="35"/>
      <c r="AX56" s="3"/>
      <c r="AY56" s="3"/>
      <c r="AZ56" s="3"/>
    </row>
    <row r="57" spans="2:52" ht="20.100000000000001" customHeight="1" x14ac:dyDescent="0.2">
      <c r="B57" s="7" t="s">
        <v>642</v>
      </c>
      <c r="C57" s="7" t="s">
        <v>643</v>
      </c>
      <c r="D57" s="40">
        <v>3</v>
      </c>
      <c r="E57" s="41">
        <v>1</v>
      </c>
      <c r="F57" s="27" t="s">
        <v>48</v>
      </c>
      <c r="G57" s="7" t="str" cm="1">
        <f t="array" ref="G57">IF(SUMPRODUCT((LEN($D$54:$D$59)&gt;0)*(LEN($E$54:$E$59)&gt;0))=0,"",IFERROR(INDEX($AN$54:$AN$57,MATCH(LARGE($AP$54:$AP$57,4),$AP$54:$AP$57,0)),""))</f>
        <v>CAPO VERDE</v>
      </c>
      <c r="H57" s="7" cm="1">
        <f t="array" ref="H57">IF(SUMPRODUCT((LEN($D$54:$D$59)&gt;0)*(LEN($E$54:$E$59)&gt;0))=0,"",IFERROR(INDEX($AO$54:$AO$57,MATCH(LARGE($AP$54:$AP$57,4),$AP$54:$AP$57,0)),""))</f>
        <v>1</v>
      </c>
      <c r="J57" s="11" t="s">
        <v>13</v>
      </c>
      <c r="K57" s="12" t="str">
        <f>_xlfn.XLOOKUP(J57,$F$5:$F$85,$G$5:$G$85, "")</f>
        <v>USA</v>
      </c>
      <c r="L57" s="60">
        <v>1</v>
      </c>
      <c r="M57" s="62" t="s">
        <v>78</v>
      </c>
      <c r="AD57" s="54"/>
      <c r="AE57" s="55"/>
      <c r="AF57" s="55"/>
      <c r="AG57" s="55"/>
      <c r="AH57" s="55"/>
      <c r="AI57" s="55"/>
      <c r="AJ57" s="55"/>
      <c r="AK57" s="55"/>
      <c r="AL57" s="56"/>
      <c r="AN57" s="34" t="str">
        <f>C55</f>
        <v>URUGUAY</v>
      </c>
      <c r="AO57" s="34" cm="1">
        <f t="array" ref="AO57">3*SUMPRODUCT(($B$54:$B$59=AN57)*($D$54:$D$59&gt;$E$54:$E$59))+3*SUMPRODUCT(($C$54:$C$59=AN57)*($E$54:$E$59&gt;$D$54:$D$59))+SUMPRODUCT((($B$54:$B$59=AN57)+($C$54:$C$59=AN57))*($D$54:$D$59=$E$54:$E$59)*(LEN($D$54:$D$59)&gt;0))</f>
        <v>6</v>
      </c>
      <c r="AP57" s="34">
        <f>AO57*1000000+(AQ57-AR57)*1000+AQ57*10-3</f>
        <v>6003067</v>
      </c>
      <c r="AQ57" s="34" cm="1">
        <f t="array" ref="AQ57">SUMPRODUCT(($B$54:$B$59=AN57)*$D$54:$D$59)+SUMPRODUCT(($C$54:$C$59=AN57)*$E$54:$E$59)</f>
        <v>7</v>
      </c>
      <c r="AR57" s="34" cm="1">
        <f t="array" ref="AR57">SUMPRODUCT(($B$54:$B$59=AN57)*$E$54:$E$59)+SUMPRODUCT(($C$54:$C$59=AN57)*$D$54:$D$59)</f>
        <v>4</v>
      </c>
      <c r="AW57" s="35"/>
      <c r="AX57" s="3"/>
      <c r="AY57" s="3"/>
      <c r="AZ57" s="3"/>
    </row>
    <row r="58" spans="2:52" ht="20.100000000000001" customHeight="1" x14ac:dyDescent="0.2">
      <c r="B58" s="7" t="s">
        <v>643</v>
      </c>
      <c r="C58" s="7" t="s">
        <v>641</v>
      </c>
      <c r="D58" s="40">
        <v>2</v>
      </c>
      <c r="E58" s="41">
        <v>2</v>
      </c>
      <c r="H58" s="28"/>
      <c r="J58" s="14" t="s">
        <v>42</v>
      </c>
      <c r="K58" s="15" t="str">
        <f>_xlfn.XLOOKUP(J58,$F$5:$F$85,$G$5:$G$85, "")</f>
        <v>EGYPT</v>
      </c>
      <c r="L58" s="61"/>
      <c r="M58" s="63"/>
      <c r="AD58" s="57"/>
      <c r="AE58" s="58"/>
      <c r="AF58" s="58"/>
      <c r="AG58" s="58"/>
      <c r="AH58" s="58"/>
      <c r="AI58" s="58"/>
      <c r="AJ58" s="58"/>
      <c r="AK58" s="58"/>
      <c r="AL58" s="59"/>
      <c r="AW58" s="35"/>
      <c r="AX58" s="3"/>
      <c r="AY58" s="3"/>
      <c r="AZ58" s="3"/>
    </row>
    <row r="59" spans="2:52" ht="20.100000000000001" customHeight="1" x14ac:dyDescent="0.2">
      <c r="B59" s="7" t="s">
        <v>642</v>
      </c>
      <c r="C59" s="7" t="s">
        <v>640</v>
      </c>
      <c r="D59" s="40">
        <v>2</v>
      </c>
      <c r="E59" s="41">
        <v>3</v>
      </c>
      <c r="F59" s="23"/>
      <c r="G59" s="23"/>
      <c r="H59" s="24"/>
      <c r="T59" s="11" t="s">
        <v>30</v>
      </c>
      <c r="U59" s="12" t="str">
        <f>IF(Q55="","",IF(Q55=1, P55, P56))</f>
        <v>ARGENTINA</v>
      </c>
      <c r="V59" s="60">
        <v>2</v>
      </c>
      <c r="W59" s="62" t="s">
        <v>35</v>
      </c>
      <c r="AD59" s="76" t="s">
        <v>669</v>
      </c>
      <c r="AE59" s="77"/>
      <c r="AF59" s="77"/>
      <c r="AG59" s="77"/>
      <c r="AH59" s="77"/>
      <c r="AI59" s="77"/>
      <c r="AJ59" s="77"/>
      <c r="AK59" s="77"/>
      <c r="AL59" s="78"/>
      <c r="AW59" s="35"/>
      <c r="AX59" s="3"/>
      <c r="AY59" s="3"/>
      <c r="AZ59" s="3"/>
    </row>
    <row r="60" spans="2:52" ht="20.100000000000001" customHeight="1" x14ac:dyDescent="0.2">
      <c r="B60" s="67" t="s">
        <v>606</v>
      </c>
      <c r="C60" s="68"/>
      <c r="D60" s="68"/>
      <c r="E60" s="68"/>
      <c r="F60" s="68"/>
      <c r="G60" s="68"/>
      <c r="H60" s="69"/>
      <c r="T60" s="14" t="s">
        <v>31</v>
      </c>
      <c r="U60" s="15" t="str">
        <f>IF(Q63="","",IF(Q63=1, P63, P64))</f>
        <v>PORTUGAL</v>
      </c>
      <c r="V60" s="61"/>
      <c r="W60" s="63"/>
      <c r="AD60" s="79"/>
      <c r="AE60" s="80"/>
      <c r="AF60" s="80"/>
      <c r="AG60" s="80"/>
      <c r="AH60" s="80"/>
      <c r="AI60" s="80"/>
      <c r="AJ60" s="80"/>
      <c r="AK60" s="80"/>
      <c r="AL60" s="81"/>
      <c r="AW60" s="35"/>
      <c r="AX60" s="3"/>
      <c r="AY60" s="3"/>
      <c r="AZ60" s="3"/>
    </row>
    <row r="61" spans="2:52" ht="20.100000000000001" customHeight="1" x14ac:dyDescent="0.2">
      <c r="B61" s="7" t="s">
        <v>645</v>
      </c>
      <c r="C61" s="7" t="s">
        <v>644</v>
      </c>
      <c r="D61" s="8">
        <v>2</v>
      </c>
      <c r="E61" s="8">
        <v>1</v>
      </c>
      <c r="F61" s="25" t="s">
        <v>49</v>
      </c>
      <c r="G61" s="10" t="str" cm="1">
        <f t="array" ref="G61">IF(SUMPRODUCT((LEN($D$61:$D$66)&gt;0)*(LEN($E$61:$E$66)&gt;0))=0,"",IFERROR(INDEX($AN$61:$AN$64,MATCH(LARGE($AP$61:$AP$64,1),$AP$61:$AP$64,0)),""))</f>
        <v>FRANCE</v>
      </c>
      <c r="H61" s="10" cm="1">
        <f t="array" ref="H61">IF(SUMPRODUCT((LEN($D$61:$D$66)&gt;0)*(LEN($E$61:$E$66)&gt;0))=0,"",IFERROR(INDEX($AO$61:$AO$64,MATCH(LARGE($AP$61:$AP$64,1),$AP$61:$AP$64,0)),""))</f>
        <v>7</v>
      </c>
      <c r="J61" s="11" t="s">
        <v>4</v>
      </c>
      <c r="K61" s="12" t="str">
        <f>_xlfn.XLOOKUP(J61,$F$5:$F$85,$G$5:$G$85, "")</f>
        <v>CANADA</v>
      </c>
      <c r="L61" s="60">
        <v>1</v>
      </c>
      <c r="M61" s="62" t="s">
        <v>79</v>
      </c>
      <c r="AD61" s="31"/>
      <c r="AE61" s="31"/>
      <c r="AF61" s="31"/>
      <c r="AG61" s="31"/>
      <c r="AH61" s="31"/>
      <c r="AI61" s="31"/>
      <c r="AJ61" s="31"/>
      <c r="AK61" s="31"/>
      <c r="AL61" s="31"/>
      <c r="AN61" s="34" t="str">
        <f>B61</f>
        <v>FRANCE</v>
      </c>
      <c r="AO61" s="34" cm="1">
        <f t="array" ref="AO61">3*SUMPRODUCT(($B$61:$B$66=AN61)*($D$61:$D$66&gt;$E$61:$E$66))+3*SUMPRODUCT(($C$61:$C$66=AN61)*($E$61:$E$66&gt;$D$61:$D$66))+SUMPRODUCT((($B$61:$B$66=AN61)+($C$61:$C$66=AN61))*($D$61:$D$66=$E$61:$E$66)*(LEN($D$61:$D$66)&gt;0))</f>
        <v>7</v>
      </c>
      <c r="AP61" s="34">
        <f>AO61*1000000+(AQ61-AR61)*1000+AQ61*10-0</f>
        <v>7003060</v>
      </c>
      <c r="AQ61" s="34" cm="1">
        <f t="array" ref="AQ61">SUMPRODUCT(($B$61:$B$66=AN61)*$D$61:$D$66)+SUMPRODUCT(($C$61:$C$66=AN61)*$E$61:$E$66)</f>
        <v>6</v>
      </c>
      <c r="AR61" s="34" cm="1">
        <f t="array" ref="AR61">SUMPRODUCT(($B$61:$B$66=AN61)*$E$61:$E$66)+SUMPRODUCT(($C$61:$C$66=AN61)*$D$61:$D$66)</f>
        <v>3</v>
      </c>
      <c r="AW61" s="35"/>
      <c r="AX61" s="3"/>
      <c r="AY61" s="3"/>
      <c r="AZ61" s="3"/>
    </row>
    <row r="62" spans="2:52" ht="20.100000000000001" customHeight="1" x14ac:dyDescent="0.2">
      <c r="B62" s="7" t="s">
        <v>646</v>
      </c>
      <c r="C62" s="7" t="s">
        <v>647</v>
      </c>
      <c r="D62" s="8">
        <v>0</v>
      </c>
      <c r="E62" s="8">
        <v>3</v>
      </c>
      <c r="F62" s="25" t="s">
        <v>50</v>
      </c>
      <c r="G62" s="10" t="str" cm="1">
        <f t="array" ref="G62">IF(SUMPRODUCT((LEN($D$61:$D$66)&gt;0)*(LEN($E$61:$E$66)&gt;0))=0,"",IFERROR(INDEX($AN$61:$AN$64,MATCH(LARGE($AP$61:$AP$64,2),$AP$61:$AP$64,0)),""))</f>
        <v>NORWAY</v>
      </c>
      <c r="H62" s="10" cm="1">
        <f t="array" ref="H62">IF(SUMPRODUCT((LEN($D$61:$D$66)&gt;0)*(LEN($E$61:$E$66)&gt;0))=0,"",IFERROR(INDEX($AO$61:$AO$64,MATCH(LARGE($AP$61:$AP$64,2),$AP$61:$AP$64,0)),""))</f>
        <v>5</v>
      </c>
      <c r="J62" s="14" t="str">
        <f>AU24</f>
        <v>3J</v>
      </c>
      <c r="K62" s="15" t="str">
        <f>_xlfn.XLOOKUP(J62,$F$5:$F$85,$G$5:$G$85, "")</f>
        <v>AUSTRIA</v>
      </c>
      <c r="L62" s="61"/>
      <c r="M62" s="63"/>
      <c r="AD62" s="31"/>
      <c r="AE62" s="31"/>
      <c r="AF62" s="31"/>
      <c r="AG62" s="31"/>
      <c r="AH62" s="31"/>
      <c r="AI62" s="31"/>
      <c r="AJ62" s="31"/>
      <c r="AK62" s="31"/>
      <c r="AL62" s="31"/>
      <c r="AN62" s="34" t="str">
        <f>C61</f>
        <v>SENEGAL</v>
      </c>
      <c r="AO62" s="34" cm="1">
        <f t="array" ref="AO62">3*SUMPRODUCT(($B$61:$B$66=AN62)*($D$61:$D$66&gt;$E$61:$E$66))+3*SUMPRODUCT(($C$61:$C$66=AN62)*($E$61:$E$66&gt;$D$61:$D$66))+SUMPRODUCT((($B$61:$B$66=AN62)+($C$61:$C$66=AN62))*($D$61:$D$66=$E$61:$E$66)*(LEN($D$61:$D$66)&gt;0))</f>
        <v>4</v>
      </c>
      <c r="AP62" s="34">
        <f>AO62*1000000+(AQ62-AR62)*1000+AQ62*10-1</f>
        <v>4001049</v>
      </c>
      <c r="AQ62" s="34" cm="1">
        <f t="array" ref="AQ62">SUMPRODUCT(($B$61:$B$66=AN62)*$D$61:$D$66)+SUMPRODUCT(($C$61:$C$66=AN62)*$E$61:$E$66)</f>
        <v>5</v>
      </c>
      <c r="AR62" s="34" cm="1">
        <f t="array" ref="AR62">SUMPRODUCT(($B$61:$B$66=AN62)*$E$61:$E$66)+SUMPRODUCT(($C$61:$C$66=AN62)*$D$61:$D$66)</f>
        <v>4</v>
      </c>
      <c r="AW62" s="35"/>
      <c r="AX62" s="3"/>
      <c r="AY62" s="3"/>
      <c r="AZ62" s="3"/>
    </row>
    <row r="63" spans="2:52" ht="20.100000000000001" customHeight="1" x14ac:dyDescent="0.2">
      <c r="B63" s="7" t="s">
        <v>645</v>
      </c>
      <c r="C63" s="7" t="s">
        <v>646</v>
      </c>
      <c r="D63" s="8">
        <v>2</v>
      </c>
      <c r="E63" s="8">
        <v>0</v>
      </c>
      <c r="F63" s="26" t="s">
        <v>51</v>
      </c>
      <c r="G63" s="17" t="str" cm="1">
        <f t="array" ref="G63">IF(SUMPRODUCT((LEN($D$61:$D$66)&gt;0)*(LEN($E$61:$E$66)&gt;0))=0,"",IFERROR(INDEX($AN$61:$AN$64,MATCH(LARGE($AP$61:$AP$64,3),$AP$61:$AP$64,0)),""))</f>
        <v>SENEGAL</v>
      </c>
      <c r="H63" s="17" cm="1">
        <f t="array" ref="H63">IF(SUMPRODUCT((LEN($D$61:$D$66)&gt;0)*(LEN($E$61:$E$66)&gt;0))=0,"",IFERROR(INDEX($AO$61:$AO$64,MATCH(LARGE($AP$61:$AP$64,3),$AP$61:$AP$64,0)),""))</f>
        <v>4</v>
      </c>
      <c r="O63" s="11" t="s">
        <v>79</v>
      </c>
      <c r="P63" s="12" t="str">
        <f>IF(L61="","",IF(L61=1, K61, K62))</f>
        <v>CANADA</v>
      </c>
      <c r="Q63" s="60">
        <v>2</v>
      </c>
      <c r="R63" s="62" t="s">
        <v>31</v>
      </c>
      <c r="AD63" s="42" t="s">
        <v>666</v>
      </c>
      <c r="AE63" s="43"/>
      <c r="AF63" s="43"/>
      <c r="AG63" s="43"/>
      <c r="AH63" s="44"/>
      <c r="AI63" s="32"/>
      <c r="AJ63" s="42" t="s">
        <v>667</v>
      </c>
      <c r="AK63" s="43"/>
      <c r="AL63" s="44"/>
      <c r="AM63" s="33"/>
      <c r="AN63" s="34" t="str">
        <f t="shared" ref="AN63:AN64" si="2">C62</f>
        <v>NORWAY</v>
      </c>
      <c r="AO63" s="34" cm="1">
        <f t="array" ref="AO63">3*SUMPRODUCT(($B$61:$B$66=AN63)*($D$61:$D$66&gt;$E$61:$E$66))+3*SUMPRODUCT(($C$61:$C$66=AN63)*($E$61:$E$66&gt;$D$61:$D$66))+SUMPRODUCT((($B$61:$B$66=AN63)+($C$61:$C$66=AN63))*($D$61:$D$66=$E$61:$E$66)*(LEN($D$61:$D$66)&gt;0))</f>
        <v>5</v>
      </c>
      <c r="AP63" s="34">
        <f>AO63*1000000+(AQ63-AR63)*1000+AQ63*10-2</f>
        <v>5003068</v>
      </c>
      <c r="AQ63" s="34" cm="1">
        <f t="array" ref="AQ63">SUMPRODUCT(($B$61:$B$66=AN63)*$D$61:$D$66)+SUMPRODUCT(($C$61:$C$66=AN63)*$E$61:$E$66)</f>
        <v>7</v>
      </c>
      <c r="AR63" s="34" cm="1">
        <f t="array" ref="AR63">SUMPRODUCT(($B$61:$B$66=AN63)*$E$61:$E$66)+SUMPRODUCT(($C$61:$C$66=AN63)*$D$61:$D$66)</f>
        <v>4</v>
      </c>
      <c r="AW63" s="35"/>
      <c r="AX63" s="3"/>
      <c r="AY63" s="3"/>
      <c r="AZ63" s="3"/>
    </row>
    <row r="64" spans="2:52" ht="20.100000000000001" customHeight="1" x14ac:dyDescent="0.2">
      <c r="B64" s="7" t="s">
        <v>647</v>
      </c>
      <c r="C64" s="7" t="s">
        <v>644</v>
      </c>
      <c r="D64" s="8">
        <v>2</v>
      </c>
      <c r="E64" s="8">
        <v>2</v>
      </c>
      <c r="F64" s="27" t="s">
        <v>52</v>
      </c>
      <c r="G64" s="7" t="str" cm="1">
        <f t="array" ref="G64">IF(SUMPRODUCT((LEN($D$61:$D$66)&gt;0)*(LEN($E$61:$E$66)&gt;0))=0,"",IFERROR(INDEX($AN$61:$AN$64,MATCH(LARGE($AP$61:$AP$64,4),$AP$61:$AP$64,0)),""))</f>
        <v>IRAQ</v>
      </c>
      <c r="H64" s="7" cm="1">
        <f t="array" ref="H64">IF(SUMPRODUCT((LEN($D$61:$D$66)&gt;0)*(LEN($E$61:$E$66)&gt;0))=0,"",IFERROR(INDEX($AO$61:$AO$64,MATCH(LARGE($AP$61:$AP$64,4),$AP$61:$AP$64,0)),""))</f>
        <v>0</v>
      </c>
      <c r="O64" s="14" t="s">
        <v>80</v>
      </c>
      <c r="P64" s="15" t="str">
        <f>IF(L65="","",IF(L65=1, K65, K66))</f>
        <v>PORTUGAL</v>
      </c>
      <c r="Q64" s="61"/>
      <c r="R64" s="63"/>
      <c r="AD64" s="45"/>
      <c r="AE64" s="46"/>
      <c r="AF64" s="46"/>
      <c r="AG64" s="46"/>
      <c r="AH64" s="47"/>
      <c r="AI64" s="32"/>
      <c r="AJ64" s="45"/>
      <c r="AK64" s="46"/>
      <c r="AL64" s="47"/>
      <c r="AM64" s="33"/>
      <c r="AN64" s="34" t="str">
        <f t="shared" si="2"/>
        <v>IRAQ</v>
      </c>
      <c r="AO64" s="34" cm="1">
        <f t="array" ref="AO64">3*SUMPRODUCT(($B$61:$B$66=AN64)*($D$61:$D$66&gt;$E$61:$E$66))+3*SUMPRODUCT(($C$61:$C$66=AN64)*($E$61:$E$66&gt;$D$61:$D$66))+SUMPRODUCT((($B$61:$B$66=AN64)+($C$61:$C$66=AN64))*($D$61:$D$66=$E$61:$E$66)*(LEN($D$61:$D$66)&gt;0))</f>
        <v>0</v>
      </c>
      <c r="AP64" s="34">
        <f>AO64*1000000+(AQ64-AR64)*1000+AQ64*10-3</f>
        <v>-7003</v>
      </c>
      <c r="AQ64" s="34" cm="1">
        <f t="array" ref="AQ64">SUMPRODUCT(($B$61:$B$66=AN64)*$D$61:$D$66)+SUMPRODUCT(($C$61:$C$66=AN64)*$E$61:$E$66)</f>
        <v>0</v>
      </c>
      <c r="AR64" s="34" cm="1">
        <f t="array" ref="AR64">SUMPRODUCT(($B$61:$B$66=AN64)*$E$61:$E$66)+SUMPRODUCT(($C$61:$C$66=AN64)*$D$61:$D$66)</f>
        <v>7</v>
      </c>
      <c r="AW64" s="35"/>
      <c r="AX64" s="3"/>
      <c r="AY64" s="3"/>
      <c r="AZ64" s="3"/>
    </row>
    <row r="65" spans="2:52" ht="20.100000000000001" customHeight="1" x14ac:dyDescent="0.2">
      <c r="B65" s="7" t="s">
        <v>647</v>
      </c>
      <c r="C65" s="7" t="s">
        <v>645</v>
      </c>
      <c r="D65" s="8">
        <v>2</v>
      </c>
      <c r="E65" s="8">
        <v>2</v>
      </c>
      <c r="H65" s="28"/>
      <c r="J65" s="11" t="s">
        <v>57</v>
      </c>
      <c r="K65" s="12" t="str">
        <f>_xlfn.XLOOKUP(J65,$F$5:$F$85,$G$5:$G$85, "")</f>
        <v>PORTUGAL</v>
      </c>
      <c r="L65" s="60">
        <v>1</v>
      </c>
      <c r="M65" s="62" t="s">
        <v>80</v>
      </c>
      <c r="AD65" s="45"/>
      <c r="AE65" s="46"/>
      <c r="AF65" s="46"/>
      <c r="AG65" s="46"/>
      <c r="AH65" s="47"/>
      <c r="AI65" s="32"/>
      <c r="AJ65" s="45"/>
      <c r="AK65" s="46"/>
      <c r="AL65" s="47"/>
      <c r="AM65" s="33"/>
      <c r="AN65" s="37"/>
      <c r="AW65" s="35"/>
      <c r="AX65" s="3"/>
      <c r="AY65" s="3"/>
      <c r="AZ65" s="3"/>
    </row>
    <row r="66" spans="2:52" ht="20.100000000000001" customHeight="1" x14ac:dyDescent="0.2">
      <c r="B66" s="7" t="s">
        <v>644</v>
      </c>
      <c r="C66" s="7" t="s">
        <v>646</v>
      </c>
      <c r="D66" s="8">
        <v>2</v>
      </c>
      <c r="E66" s="8">
        <v>0</v>
      </c>
      <c r="F66" s="23"/>
      <c r="G66" s="23"/>
      <c r="H66" s="24"/>
      <c r="J66" s="14" t="str">
        <f>AU29</f>
        <v>3I</v>
      </c>
      <c r="K66" s="15" t="str">
        <f>_xlfn.XLOOKUP(J66,$F$5:$F$85,$G$5:$G$85, "")</f>
        <v>SENEGAL</v>
      </c>
      <c r="L66" s="61"/>
      <c r="M66" s="63"/>
      <c r="AD66" s="48"/>
      <c r="AE66" s="49"/>
      <c r="AF66" s="49"/>
      <c r="AG66" s="49"/>
      <c r="AH66" s="50"/>
      <c r="AI66" s="32"/>
      <c r="AJ66" s="48"/>
      <c r="AK66" s="49"/>
      <c r="AL66" s="50"/>
      <c r="AM66" s="33"/>
      <c r="AN66" s="37"/>
      <c r="AW66" s="35"/>
      <c r="AX66" s="3"/>
      <c r="AY66" s="3"/>
      <c r="AZ66" s="3"/>
    </row>
    <row r="67" spans="2:52" ht="20.100000000000001" customHeight="1" x14ac:dyDescent="0.2">
      <c r="B67" s="67" t="s">
        <v>607</v>
      </c>
      <c r="C67" s="68"/>
      <c r="D67" s="68"/>
      <c r="E67" s="68"/>
      <c r="F67" s="68"/>
      <c r="G67" s="68"/>
      <c r="H67" s="69"/>
      <c r="AW67" s="35"/>
      <c r="AX67" s="3"/>
      <c r="AY67" s="3"/>
      <c r="AZ67" s="3"/>
    </row>
    <row r="68" spans="2:52" ht="20.100000000000001" customHeight="1" x14ac:dyDescent="0.2">
      <c r="B68" s="7" t="s">
        <v>648</v>
      </c>
      <c r="C68" s="7" t="s">
        <v>649</v>
      </c>
      <c r="D68" s="8">
        <v>2</v>
      </c>
      <c r="E68" s="8">
        <v>1</v>
      </c>
      <c r="F68" s="25" t="s">
        <v>53</v>
      </c>
      <c r="G68" s="10" t="str" cm="1">
        <f t="array" ref="G68">IF(SUMPRODUCT((LEN($D$68:$D$73)&gt;0)*(LEN($E$68:$E$73)&gt;0))=0,"",IFERROR(INDEX($AN$68:$AN$71,MATCH(LARGE($AP$68:$AP$71,1),$AP$68:$AP$71,0)),""))</f>
        <v>ARGENTINA</v>
      </c>
      <c r="H68" s="10" cm="1">
        <f t="array" ref="H68">IF(SUMPRODUCT((LEN($D$68:$D$73)&gt;0)*(LEN($E$68:$E$73)&gt;0))=0,"",IFERROR(INDEX($AO$68:$AO$71,MATCH(LARGE($AP$68:$AP$71,1),$AP$68:$AP$71,0)),""))</f>
        <v>9</v>
      </c>
      <c r="AN68" s="34" t="str">
        <f>B68</f>
        <v>ARGENTINA</v>
      </c>
      <c r="AO68" s="34" cm="1">
        <f t="array" ref="AO68">3*SUMPRODUCT(($B$68:$B$73=AN68)*($D$68:$D$73&gt;$E$68:$E$73))+3*SUMPRODUCT(($C$68:$C$73=AN68)*($E$68:$E$73&gt;$D$68:$D$73))+SUMPRODUCT((($B$68:$B$73=AN68)+($C$68:$C$73=AN68))*($D$68:$D$73=$E$68:$E$73)*(LEN($D$68:$D$73)&gt;0))</f>
        <v>9</v>
      </c>
      <c r="AP68" s="34">
        <f>AO68*1000000+(AQ68-AR68)*1000+AQ68*10-0</f>
        <v>9004060</v>
      </c>
      <c r="AQ68" s="34" cm="1">
        <f t="array" ref="AQ68">SUMPRODUCT(($B$68:$B$73=AN68)*$D$68:$D$73)+SUMPRODUCT(($C$68:$C$73=AN68)*$E$68:$E$73)</f>
        <v>6</v>
      </c>
      <c r="AR68" s="34" cm="1">
        <f t="array" ref="AR68">SUMPRODUCT(($B$68:$B$73=AN68)*$E$68:$E$73)+SUMPRODUCT(($C$68:$C$73=AN68)*$D$68:$D$73)</f>
        <v>2</v>
      </c>
      <c r="AW68" s="35"/>
      <c r="AX68" s="3"/>
      <c r="AY68" s="3"/>
      <c r="AZ68" s="3"/>
    </row>
    <row r="69" spans="2:52" ht="20.100000000000001" customHeight="1" x14ac:dyDescent="0.2">
      <c r="B69" s="7" t="s">
        <v>650</v>
      </c>
      <c r="C69" s="7" t="s">
        <v>651</v>
      </c>
      <c r="D69" s="8">
        <v>0</v>
      </c>
      <c r="E69" s="8">
        <v>0</v>
      </c>
      <c r="F69" s="25" t="s">
        <v>54</v>
      </c>
      <c r="G69" s="10" t="str" cm="1">
        <f t="array" ref="G69">IF(SUMPRODUCT((LEN($D$68:$D$73)&gt;0)*(LEN($E$68:$E$73)&gt;0))=0,"",IFERROR(INDEX($AN$68:$AN$71,MATCH(LARGE($AP$68:$AP$71,2),$AP$68:$AP$71,0)),""))</f>
        <v>ALGERIA</v>
      </c>
      <c r="H69" s="10" cm="1">
        <f t="array" ref="H69">IF(SUMPRODUCT((LEN($D$68:$D$73)&gt;0)*(LEN($E$68:$E$73)&gt;0))=0,"",IFERROR(INDEX($AO$68:$AO$71,MATCH(LARGE($AP$68:$AP$71,2),$AP$68:$AP$71,0)),""))</f>
        <v>4</v>
      </c>
      <c r="N69" s="3"/>
      <c r="O69" s="3"/>
      <c r="P69" s="3"/>
      <c r="Q69" s="3"/>
      <c r="R69" s="3"/>
      <c r="S69" s="3"/>
      <c r="T69" s="3"/>
      <c r="U69" s="3"/>
      <c r="V69" s="3"/>
      <c r="AN69" s="34" t="str">
        <f>C68</f>
        <v>ALGERIA</v>
      </c>
      <c r="AO69" s="34" cm="1">
        <f t="array" ref="AO69">3*SUMPRODUCT(($B$68:$B$73=AN69)*($D$68:$D$73&gt;$E$68:$E$73))+3*SUMPRODUCT(($C$68:$C$73=AN69)*($E$68:$E$73&gt;$D$68:$D$73))+SUMPRODUCT((($B$68:$B$73=AN69)+($C$68:$C$73=AN69))*($D$68:$D$73=$E$68:$E$73)*(LEN($D$68:$D$73)&gt;0))</f>
        <v>4</v>
      </c>
      <c r="AP69" s="34">
        <f>AO69*1000000+(AQ69-AR69)*1000+AQ69*10-1</f>
        <v>4000039</v>
      </c>
      <c r="AQ69" s="34" cm="1">
        <f t="array" ref="AQ69">SUMPRODUCT(($B$68:$B$73=AN69)*$D$68:$D$73)+SUMPRODUCT(($C$68:$C$73=AN69)*$E$68:$E$73)</f>
        <v>4</v>
      </c>
      <c r="AR69" s="34" cm="1">
        <f t="array" ref="AR69">SUMPRODUCT(($B$68:$B$73=AN69)*$E$68:$E$73)+SUMPRODUCT(($C$68:$C$73=AN69)*$D$68:$D$73)</f>
        <v>4</v>
      </c>
      <c r="AW69" s="35"/>
      <c r="AX69" s="3"/>
      <c r="AY69" s="3"/>
      <c r="AZ69" s="3"/>
    </row>
    <row r="70" spans="2:52" ht="20.100000000000001" customHeight="1" x14ac:dyDescent="0.2">
      <c r="B70" s="7" t="s">
        <v>648</v>
      </c>
      <c r="C70" s="7" t="s">
        <v>650</v>
      </c>
      <c r="D70" s="8">
        <v>2</v>
      </c>
      <c r="E70" s="8">
        <v>1</v>
      </c>
      <c r="F70" s="26" t="s">
        <v>55</v>
      </c>
      <c r="G70" s="17" t="str" cm="1">
        <f t="array" ref="G70">IF(SUMPRODUCT((LEN($D$68:$D$73)&gt;0)*(LEN($E$68:$E$73)&gt;0))=0,"",IFERROR(INDEX($AN$68:$AN$71,MATCH(LARGE($AP$68:$AP$71,3),$AP$68:$AP$71,0)),""))</f>
        <v>AUSTRIA</v>
      </c>
      <c r="H70" s="17" cm="1">
        <f t="array" ref="H70">IF(SUMPRODUCT((LEN($D$68:$D$73)&gt;0)*(LEN($E$68:$E$73)&gt;0))=0,"",IFERROR(INDEX($AO$68:$AO$71,MATCH(LARGE($AP$68:$AP$71,3),$AP$68:$AP$71,0)),""))</f>
        <v>2</v>
      </c>
      <c r="N70" s="3"/>
      <c r="O70" s="3"/>
      <c r="P70" s="3"/>
      <c r="Q70" s="3"/>
      <c r="R70" s="3"/>
      <c r="S70" s="3"/>
      <c r="T70" s="3"/>
      <c r="U70" s="3"/>
      <c r="V70" s="3"/>
      <c r="AN70" s="34" t="str">
        <f>B69</f>
        <v>AUSTRIA</v>
      </c>
      <c r="AO70" s="34" cm="1">
        <f t="array" ref="AO70">3*SUMPRODUCT(($B$68:$B$73=AN70)*($D$68:$D$73&gt;$E$68:$E$73))+3*SUMPRODUCT(($C$68:$C$73=AN70)*($E$68:$E$73&gt;$D$68:$D$73))+SUMPRODUCT((($B$68:$B$73=AN70)+($C$68:$C$73=AN70))*($D$68:$D$73=$E$68:$E$73)*(LEN($D$68:$D$73)&gt;0))</f>
        <v>2</v>
      </c>
      <c r="AP70" s="34">
        <f>AO70*1000000+(AQ70-AR70)*1000+AQ70*10-2</f>
        <v>1999018</v>
      </c>
      <c r="AQ70" s="34" cm="1">
        <f t="array" ref="AQ70">SUMPRODUCT(($B$68:$B$73=AN70)*$D$68:$D$73)+SUMPRODUCT(($C$68:$C$73=AN70)*$E$68:$E$73)</f>
        <v>2</v>
      </c>
      <c r="AR70" s="34" cm="1">
        <f t="array" ref="AR70">SUMPRODUCT(($B$68:$B$73=AN70)*$E$68:$E$73)+SUMPRODUCT(($C$68:$C$73=AN70)*$D$68:$D$73)</f>
        <v>3</v>
      </c>
      <c r="AW70" s="35"/>
      <c r="AX70" s="3"/>
      <c r="AY70" s="3"/>
      <c r="AZ70" s="3"/>
    </row>
    <row r="71" spans="2:52" ht="20.100000000000001" customHeight="1" x14ac:dyDescent="0.2">
      <c r="B71" s="7" t="s">
        <v>651</v>
      </c>
      <c r="C71" s="7" t="s">
        <v>649</v>
      </c>
      <c r="D71" s="8">
        <v>1</v>
      </c>
      <c r="E71" s="8">
        <v>2</v>
      </c>
      <c r="F71" s="27" t="s">
        <v>56</v>
      </c>
      <c r="G71" s="7" t="str" cm="1">
        <f t="array" ref="G71">IF(SUMPRODUCT((LEN($D$68:$D$73)&gt;0)*(LEN($E$68:$E$73)&gt;0))=0,"",IFERROR(INDEX($AN$68:$AN$71,MATCH(LARGE($AP$68:$AP$71,4),$AP$68:$AP$71,0)),""))</f>
        <v>JORDAN</v>
      </c>
      <c r="H71" s="7" cm="1">
        <f t="array" ref="H71">IF(SUMPRODUCT((LEN($D$68:$D$73)&gt;0)*(LEN($E$68:$E$73)&gt;0))=0,"",IFERROR(INDEX($AO$68:$AO$71,MATCH(LARGE($AP$68:$AP$71,4),$AP$68:$AP$71,0)),""))</f>
        <v>1</v>
      </c>
      <c r="N71" s="3"/>
      <c r="O71" s="3"/>
      <c r="P71" s="3"/>
      <c r="Q71" s="3"/>
      <c r="R71" s="3"/>
      <c r="S71" s="3"/>
      <c r="T71" s="3"/>
      <c r="U71" s="3"/>
      <c r="V71" s="3"/>
      <c r="AN71" s="34" t="str">
        <f>C69</f>
        <v>JORDAN</v>
      </c>
      <c r="AO71" s="34" cm="1">
        <f t="array" ref="AO71">3*SUMPRODUCT(($B$68:$B$73=AN71)*($D$68:$D$73&gt;$E$68:$E$73))+3*SUMPRODUCT(($C$68:$C$73=AN71)*($E$68:$E$73&gt;$D$68:$D$73))+SUMPRODUCT((($B$68:$B$73=AN71)+($C$68:$C$73=AN71))*($D$68:$D$73=$E$68:$E$73)*(LEN($D$68:$D$73)&gt;0))</f>
        <v>1</v>
      </c>
      <c r="AP71" s="34">
        <f>AO71*1000000+(AQ71-AR71)*1000+AQ71*10-3</f>
        <v>997007</v>
      </c>
      <c r="AQ71" s="34" cm="1">
        <f t="array" ref="AQ71">SUMPRODUCT(($B$68:$B$73=AN71)*$D$68:$D$73)+SUMPRODUCT(($C$68:$C$73=AN71)*$E$68:$E$73)</f>
        <v>1</v>
      </c>
      <c r="AR71" s="34" cm="1">
        <f t="array" ref="AR71">SUMPRODUCT(($B$68:$B$73=AN71)*$E$68:$E$73)+SUMPRODUCT(($C$68:$C$73=AN71)*$D$68:$D$73)</f>
        <v>4</v>
      </c>
      <c r="AW71" s="35"/>
      <c r="AX71" s="3"/>
      <c r="AY71" s="3"/>
      <c r="AZ71" s="3"/>
    </row>
    <row r="72" spans="2:52" ht="20.100000000000001" customHeight="1" x14ac:dyDescent="0.2">
      <c r="B72" s="7" t="s">
        <v>649</v>
      </c>
      <c r="C72" s="7" t="s">
        <v>650</v>
      </c>
      <c r="D72" s="8">
        <v>1</v>
      </c>
      <c r="E72" s="8">
        <v>1</v>
      </c>
      <c r="H72" s="28"/>
      <c r="N72" s="3"/>
      <c r="O72" s="3"/>
      <c r="P72" s="3"/>
      <c r="Q72" s="3"/>
      <c r="R72" s="3"/>
      <c r="S72" s="3"/>
      <c r="T72" s="3"/>
      <c r="U72" s="3"/>
      <c r="V72" s="3"/>
      <c r="AW72" s="35"/>
      <c r="AX72" s="3"/>
      <c r="AY72" s="3"/>
      <c r="AZ72" s="3"/>
    </row>
    <row r="73" spans="2:52" ht="20.100000000000001" customHeight="1" x14ac:dyDescent="0.2">
      <c r="B73" s="7" t="s">
        <v>651</v>
      </c>
      <c r="C73" s="7" t="s">
        <v>648</v>
      </c>
      <c r="D73" s="8">
        <v>0</v>
      </c>
      <c r="E73" s="8">
        <v>2</v>
      </c>
      <c r="F73" s="23"/>
      <c r="G73" s="23"/>
      <c r="H73" s="24"/>
      <c r="N73" s="3"/>
      <c r="O73" s="3"/>
      <c r="P73" s="3"/>
      <c r="Q73" s="3"/>
      <c r="R73" s="3"/>
      <c r="S73" s="3"/>
      <c r="T73" s="3"/>
      <c r="U73" s="3"/>
      <c r="V73" s="3"/>
      <c r="AW73" s="35"/>
      <c r="AX73" s="3"/>
      <c r="AY73" s="3"/>
      <c r="AZ73" s="3"/>
    </row>
    <row r="74" spans="2:52" ht="20.100000000000001" customHeight="1" x14ac:dyDescent="0.2">
      <c r="B74" s="67" t="s">
        <v>608</v>
      </c>
      <c r="C74" s="68"/>
      <c r="D74" s="68"/>
      <c r="E74" s="68"/>
      <c r="F74" s="68"/>
      <c r="G74" s="68"/>
      <c r="H74" s="69"/>
      <c r="N74" s="3"/>
      <c r="O74" s="3"/>
      <c r="P74" s="3"/>
      <c r="Q74" s="3"/>
      <c r="R74" s="3"/>
      <c r="S74" s="3"/>
      <c r="T74" s="3"/>
      <c r="U74" s="3"/>
      <c r="V74" s="3"/>
      <c r="AW74" s="35"/>
      <c r="AX74" s="3"/>
      <c r="AY74" s="3"/>
      <c r="AZ74" s="3"/>
    </row>
    <row r="75" spans="2:52" ht="20.100000000000001" customHeight="1" x14ac:dyDescent="0.2">
      <c r="B75" s="7" t="s">
        <v>652</v>
      </c>
      <c r="C75" s="7" t="s">
        <v>655</v>
      </c>
      <c r="D75" s="8">
        <v>2</v>
      </c>
      <c r="E75" s="8">
        <v>0</v>
      </c>
      <c r="F75" s="25" t="s">
        <v>57</v>
      </c>
      <c r="G75" s="10" t="str" cm="1">
        <f t="array" ref="G75">IF(SUMPRODUCT((LEN($D$75:$D$80)&gt;0)*(LEN($E$75:$E$80)&gt;0))=0,"",IFERROR(INDEX($AN$75:$AN$78,MATCH(LARGE($AP$75:$AP$78,1),$AP$75:$AP$78,0)),""))</f>
        <v>PORTUGAL</v>
      </c>
      <c r="H75" s="10" cm="1">
        <f t="array" ref="H75">IF(SUMPRODUCT((LEN($D$75:$D$80)&gt;0)*(LEN($E$75:$E$80)&gt;0))=0,"",IFERROR(INDEX($AO$75:$AO$78,MATCH(LARGE($AP$75:$AP$78,1),$AP$75:$AP$78,0)),""))</f>
        <v>7</v>
      </c>
      <c r="N75" s="3"/>
      <c r="O75" s="3"/>
      <c r="P75" s="3"/>
      <c r="Q75" s="3"/>
      <c r="R75" s="3"/>
      <c r="S75" s="3"/>
      <c r="T75" s="3"/>
      <c r="U75" s="3"/>
      <c r="V75" s="3"/>
      <c r="AN75" s="34" t="str">
        <f>B75</f>
        <v>PORTUGAL</v>
      </c>
      <c r="AO75" s="34" cm="1">
        <f t="array" ref="AO75">3*SUMPRODUCT(($B$75:$B$80=AN75)*($D$75:$D$80&gt;$E$75:$E$80))+3*SUMPRODUCT(($C$75:$C$80=AN75)*($E$75:$E$80&gt;$D$75:$D$80))+SUMPRODUCT((($B$75:$B$80=AN75)+($C$75:$C$80=AN75))*($D$75:$D$80=$E$75:$E$80)*(LEN($D$75:$D$80)&gt;0))</f>
        <v>7</v>
      </c>
      <c r="AP75" s="34">
        <f>AO75*1000000+(AQ75-AR75)*1000+AQ75*10-0</f>
        <v>7006070</v>
      </c>
      <c r="AQ75" s="34" cm="1">
        <f t="array" ref="AQ75">SUMPRODUCT(($B$75:$B$80=AN75)*$D$75:$D$80)+SUMPRODUCT(($C$75:$C$80=AN75)*$E$75:$E$80)</f>
        <v>7</v>
      </c>
      <c r="AR75" s="34" cm="1">
        <f t="array" ref="AR75">SUMPRODUCT(($B$75:$B$80=AN75)*$E$75:$E$80)+SUMPRODUCT(($C$75:$C$80=AN75)*$D$75:$D$80)</f>
        <v>1</v>
      </c>
      <c r="AW75" s="35"/>
      <c r="AX75" s="3"/>
      <c r="AY75" s="3"/>
      <c r="AZ75" s="3"/>
    </row>
    <row r="76" spans="2:52" ht="20.100000000000001" customHeight="1" x14ac:dyDescent="0.2">
      <c r="B76" s="7" t="s">
        <v>653</v>
      </c>
      <c r="C76" s="7" t="s">
        <v>654</v>
      </c>
      <c r="D76" s="8">
        <v>0</v>
      </c>
      <c r="E76" s="8">
        <v>3</v>
      </c>
      <c r="F76" s="25" t="s">
        <v>58</v>
      </c>
      <c r="G76" s="10" t="str" cm="1">
        <f t="array" ref="G76">IF(SUMPRODUCT((LEN($D$75:$D$80)&gt;0)*(LEN($E$75:$E$80)&gt;0))=0,"",IFERROR(INDEX($AN$75:$AN$78,MATCH(LARGE($AP$75:$AP$78,2),$AP$75:$AP$78,0)),""))</f>
        <v>COLOMBIA</v>
      </c>
      <c r="H76" s="10" cm="1">
        <f t="array" ref="H76">IF(SUMPRODUCT((LEN($D$75:$D$80)&gt;0)*(LEN($E$75:$E$80)&gt;0))=0,"",IFERROR(INDEX($AO$75:$AO$78,MATCH(LARGE($AP$75:$AP$78,2),$AP$75:$AP$78,0)),""))</f>
        <v>7</v>
      </c>
      <c r="N76" s="3"/>
      <c r="O76" s="3"/>
      <c r="P76" s="3"/>
      <c r="Q76" s="3"/>
      <c r="R76" s="3"/>
      <c r="S76" s="3"/>
      <c r="T76" s="3"/>
      <c r="U76" s="3"/>
      <c r="V76" s="3"/>
      <c r="AN76" s="34" t="str">
        <f>C75</f>
        <v>DR CONGO</v>
      </c>
      <c r="AO76" s="34" cm="1">
        <f t="array" ref="AO76">3*SUMPRODUCT(($B$75:$B$80=AN76)*($D$75:$D$80&gt;$E$75:$E$80))+3*SUMPRODUCT(($C$75:$C$80=AN76)*($E$75:$E$80&gt;$D$75:$D$80))+SUMPRODUCT((($B$75:$B$80=AN76)+($C$75:$C$80=AN76))*($D$75:$D$80=$E$75:$E$80)*(LEN($D$75:$D$80)&gt;0))</f>
        <v>3</v>
      </c>
      <c r="AP76" s="34">
        <f>AO76*1000000+(AQ76-AR76)*1000+AQ76*10-1</f>
        <v>2998029</v>
      </c>
      <c r="AQ76" s="34" cm="1">
        <f t="array" ref="AQ76">SUMPRODUCT(($B$75:$B$80=AN76)*$D$75:$D$80)+SUMPRODUCT(($C$75:$C$80=AN76)*$E$75:$E$80)</f>
        <v>3</v>
      </c>
      <c r="AR76" s="34" cm="1">
        <f t="array" ref="AR76">SUMPRODUCT(($B$75:$B$80=AN76)*$E$75:$E$80)+SUMPRODUCT(($C$75:$C$80=AN76)*$D$75:$D$80)</f>
        <v>5</v>
      </c>
      <c r="AW76" s="35"/>
      <c r="AX76" s="3"/>
      <c r="AY76" s="3"/>
      <c r="AZ76" s="3"/>
    </row>
    <row r="77" spans="2:52" ht="20.100000000000001" customHeight="1" x14ac:dyDescent="0.2">
      <c r="B77" s="7" t="s">
        <v>652</v>
      </c>
      <c r="C77" s="7" t="s">
        <v>653</v>
      </c>
      <c r="D77" s="8">
        <v>4</v>
      </c>
      <c r="E77" s="8">
        <v>0</v>
      </c>
      <c r="F77" s="26" t="s">
        <v>59</v>
      </c>
      <c r="G77" s="17" t="str" cm="1">
        <f t="array" ref="G77">IF(SUMPRODUCT((LEN($D$75:$D$80)&gt;0)*(LEN($E$75:$E$80)&gt;0))=0,"",IFERROR(INDEX($AN$75:$AN$78,MATCH(LARGE($AP$75:$AP$78,3),$AP$75:$AP$78,0)),""))</f>
        <v>DR CONGO</v>
      </c>
      <c r="H77" s="17" cm="1">
        <f t="array" ref="H77">IF(SUMPRODUCT((LEN($D$75:$D$80)&gt;0)*(LEN($E$75:$E$80)&gt;0))=0,"",IFERROR(INDEX($AO$75:$AO$78,MATCH(LARGE($AP$75:$AP$78,3),$AP$75:$AP$78,0)),""))</f>
        <v>3</v>
      </c>
      <c r="N77" s="3"/>
      <c r="O77" s="3"/>
      <c r="P77" s="3"/>
      <c r="Q77" s="3"/>
      <c r="R77" s="3"/>
      <c r="S77" s="3"/>
      <c r="T77" s="3"/>
      <c r="U77" s="3"/>
      <c r="V77" s="3"/>
      <c r="AN77" s="34" t="str">
        <f>B76</f>
        <v>UZBEKISTAN</v>
      </c>
      <c r="AO77" s="34" cm="1">
        <f t="array" ref="AO77">3*SUMPRODUCT(($B$75:$B$80=AN77)*($D$75:$D$80&gt;$E$75:$E$80))+3*SUMPRODUCT(($C$75:$C$80=AN77)*($E$75:$E$80&gt;$D$75:$D$80))+SUMPRODUCT((($B$75:$B$80=AN77)+($C$75:$C$80=AN77))*($D$75:$D$80=$E$75:$E$80)*(LEN($D$75:$D$80)&gt;0))</f>
        <v>0</v>
      </c>
      <c r="AP77" s="34">
        <f>AO77*1000000+(AQ77-AR77)*1000+AQ77*10-2</f>
        <v>-7992</v>
      </c>
      <c r="AQ77" s="34" cm="1">
        <f t="array" ref="AQ77">SUMPRODUCT(($B$75:$B$80=AN77)*$D$75:$D$80)+SUMPRODUCT(($C$75:$C$80=AN77)*$E$75:$E$80)</f>
        <v>1</v>
      </c>
      <c r="AR77" s="34" cm="1">
        <f t="array" ref="AR77">SUMPRODUCT(($B$75:$B$80=AN77)*$E$75:$E$80)+SUMPRODUCT(($C$75:$C$80=AN77)*$D$75:$D$80)</f>
        <v>9</v>
      </c>
      <c r="AW77" s="35"/>
      <c r="AX77" s="3"/>
      <c r="AY77" s="3"/>
      <c r="AZ77" s="3"/>
    </row>
    <row r="78" spans="2:52" ht="20.100000000000001" customHeight="1" x14ac:dyDescent="0.2">
      <c r="B78" s="7" t="s">
        <v>654</v>
      </c>
      <c r="C78" s="7" t="s">
        <v>655</v>
      </c>
      <c r="D78" s="8">
        <v>2</v>
      </c>
      <c r="E78" s="8">
        <v>1</v>
      </c>
      <c r="F78" s="27" t="s">
        <v>60</v>
      </c>
      <c r="G78" s="7" t="str" cm="1">
        <f t="array" ref="G78">IF(SUMPRODUCT((LEN($D$75:$D$80)&gt;0)*(LEN($E$75:$E$80)&gt;0))=0,"",IFERROR(INDEX($AN$75:$AN$78,MATCH(LARGE($AP$75:$AP$78,4),$AP$75:$AP$78,0)),""))</f>
        <v>UZBEKISTAN</v>
      </c>
      <c r="H78" s="7" cm="1">
        <f t="array" ref="H78">IF(SUMPRODUCT((LEN($D$75:$D$80)&gt;0)*(LEN($E$75:$E$80)&gt;0))=0,"",IFERROR(INDEX($AO$75:$AO$78,MATCH(LARGE($AP$75:$AP$78,4),$AP$75:$AP$78,0)),""))</f>
        <v>0</v>
      </c>
      <c r="N78" s="3"/>
      <c r="O78" s="3"/>
      <c r="P78" s="3"/>
      <c r="Q78" s="3"/>
      <c r="R78" s="3"/>
      <c r="S78" s="3"/>
      <c r="T78" s="3"/>
      <c r="U78" s="3"/>
      <c r="V78" s="3"/>
      <c r="AN78" s="34" t="str">
        <f>C76</f>
        <v>COLOMBIA</v>
      </c>
      <c r="AO78" s="34" cm="1">
        <f t="array" ref="AO78">3*SUMPRODUCT(($B$75:$B$80=AN78)*($D$75:$D$80&gt;$E$75:$E$80))+3*SUMPRODUCT(($C$75:$C$80=AN78)*($E$75:$E$80&gt;$D$75:$D$80))+SUMPRODUCT((($B$75:$B$80=AN78)+($C$75:$C$80=AN78))*($D$75:$D$80=$E$75:$E$80)*(LEN($D$75:$D$80)&gt;0))</f>
        <v>7</v>
      </c>
      <c r="AP78" s="34">
        <f>AO78*1000000+(AQ78-AR78)*1000+AQ78*10-3</f>
        <v>7004057</v>
      </c>
      <c r="AQ78" s="34" cm="1">
        <f t="array" ref="AQ78">SUMPRODUCT(($B$75:$B$80=AN78)*$D$75:$D$80)+SUMPRODUCT(($C$75:$C$80=AN78)*$E$75:$E$80)</f>
        <v>6</v>
      </c>
      <c r="AR78" s="34" cm="1">
        <f t="array" ref="AR78">SUMPRODUCT(($B$75:$B$80=AN78)*$E$75:$E$80)+SUMPRODUCT(($C$75:$C$80=AN78)*$D$75:$D$80)</f>
        <v>2</v>
      </c>
      <c r="AW78" s="35"/>
      <c r="AX78" s="3"/>
      <c r="AY78" s="3"/>
      <c r="AZ78" s="3"/>
    </row>
    <row r="79" spans="2:52" ht="20.100000000000001" customHeight="1" x14ac:dyDescent="0.2">
      <c r="B79" s="7" t="s">
        <v>654</v>
      </c>
      <c r="C79" s="7" t="s">
        <v>652</v>
      </c>
      <c r="D79" s="8">
        <v>1</v>
      </c>
      <c r="E79" s="8">
        <v>1</v>
      </c>
      <c r="H79" s="28"/>
      <c r="N79" s="3"/>
      <c r="O79" s="3"/>
      <c r="P79" s="3"/>
      <c r="Q79" s="3"/>
      <c r="R79" s="3"/>
      <c r="S79" s="3"/>
      <c r="T79" s="3"/>
      <c r="U79" s="3"/>
      <c r="V79" s="3"/>
      <c r="AW79" s="35"/>
      <c r="AX79" s="3"/>
      <c r="AY79" s="3"/>
      <c r="AZ79" s="3"/>
    </row>
    <row r="80" spans="2:52" ht="20.100000000000001" customHeight="1" x14ac:dyDescent="0.2">
      <c r="B80" s="7" t="s">
        <v>655</v>
      </c>
      <c r="C80" s="7" t="s">
        <v>653</v>
      </c>
      <c r="D80" s="8">
        <v>2</v>
      </c>
      <c r="E80" s="8">
        <v>1</v>
      </c>
      <c r="F80" s="23"/>
      <c r="G80" s="23"/>
      <c r="H80" s="24"/>
      <c r="N80" s="3"/>
      <c r="O80" s="3"/>
      <c r="P80" s="3"/>
      <c r="Q80" s="3"/>
      <c r="R80" s="3"/>
      <c r="S80" s="3"/>
      <c r="T80" s="3"/>
      <c r="U80" s="3"/>
      <c r="V80" s="3"/>
      <c r="AW80" s="35"/>
      <c r="AX80" s="3"/>
      <c r="AY80" s="3"/>
      <c r="AZ80" s="3"/>
    </row>
    <row r="81" spans="2:52" ht="20.100000000000001" customHeight="1" x14ac:dyDescent="0.2">
      <c r="B81" s="67" t="s">
        <v>609</v>
      </c>
      <c r="C81" s="68"/>
      <c r="D81" s="68"/>
      <c r="E81" s="68"/>
      <c r="F81" s="68"/>
      <c r="G81" s="68"/>
      <c r="H81" s="69"/>
      <c r="N81" s="3"/>
      <c r="O81" s="3"/>
      <c r="P81" s="3"/>
      <c r="Q81" s="3"/>
      <c r="R81" s="3"/>
      <c r="S81" s="3"/>
      <c r="T81" s="3"/>
      <c r="U81" s="3"/>
      <c r="V81" s="3"/>
      <c r="AW81" s="35"/>
      <c r="AX81" s="3"/>
      <c r="AY81" s="3"/>
      <c r="AZ81" s="3"/>
    </row>
    <row r="82" spans="2:52" ht="20.100000000000001" customHeight="1" x14ac:dyDescent="0.2">
      <c r="B82" s="7" t="s">
        <v>656</v>
      </c>
      <c r="C82" s="7" t="s">
        <v>659</v>
      </c>
      <c r="D82" s="8">
        <v>2</v>
      </c>
      <c r="E82" s="8">
        <v>1</v>
      </c>
      <c r="F82" s="25" t="s">
        <v>61</v>
      </c>
      <c r="G82" s="10" t="str" cm="1">
        <f t="array" ref="G82">IF(SUMPRODUCT((LEN($D$82:$D$87)&gt;0)*(LEN($E$82:$E$87)&gt;0))=0,"",IFERROR(INDEX($AN$82:$AN$85,MATCH(LARGE($AP$82:$AP$85,1),$AP$82:$AP$85,0)),""))</f>
        <v>ENGLAND</v>
      </c>
      <c r="H82" s="10" cm="1">
        <f t="array" ref="H82">IF(SUMPRODUCT((LEN($D$82:$D$87)&gt;0)*(LEN($E$82:$E$87)&gt;0))=0,"",IFERROR(INDEX($AO$82:$AO$85,MATCH(LARGE($AP$82:$AP$85,1),$AP$82:$AP$85,0)),""))</f>
        <v>9</v>
      </c>
      <c r="AN82" s="34" t="str">
        <f>B82</f>
        <v>ENGLAND</v>
      </c>
      <c r="AO82" s="34" cm="1">
        <f t="array" ref="AO82">3*SUMPRODUCT(($B$82:$B$87=AN82)*($D$82:$D$87&gt;$E$82:$E$87))+3*SUMPRODUCT(($C$82:$C$87=AN82)*($E$82:$E$87&gt;$D$82:$D$87))+SUMPRODUCT((($B$82:$B$87=AN82)+($C$82:$C$87=AN82))*($D$82:$D$87=$E$82:$E$87)*(LEN($D$82:$D$87)&gt;0))</f>
        <v>9</v>
      </c>
      <c r="AP82" s="34">
        <f>AO82*1000000+(AQ82-AR82)*1000+AQ82*10-0</f>
        <v>9006070</v>
      </c>
      <c r="AQ82" s="34" cm="1">
        <f t="array" ref="AQ82">SUMPRODUCT(($B$82:$B$87=AN82)*$D$82:$D$87)+SUMPRODUCT(($C$82:$C$87=AN82)*$E$82:$E$87)</f>
        <v>7</v>
      </c>
      <c r="AR82" s="34" cm="1">
        <f t="array" ref="AR82">SUMPRODUCT(($B$82:$B$87=AN82)*$E$82:$E$87)+SUMPRODUCT(($C$82:$C$87=AN82)*$D$82:$D$87)</f>
        <v>1</v>
      </c>
      <c r="AW82" s="35"/>
      <c r="AX82" s="3"/>
      <c r="AY82" s="3"/>
      <c r="AZ82" s="3"/>
    </row>
    <row r="83" spans="2:52" ht="20.100000000000001" customHeight="1" x14ac:dyDescent="0.2">
      <c r="B83" s="7" t="s">
        <v>657</v>
      </c>
      <c r="C83" s="7" t="s">
        <v>658</v>
      </c>
      <c r="D83" s="8">
        <v>1</v>
      </c>
      <c r="E83" s="8">
        <v>1</v>
      </c>
      <c r="F83" s="25" t="s">
        <v>62</v>
      </c>
      <c r="G83" s="10" t="str" cm="1">
        <f t="array" ref="G83">IF(SUMPRODUCT((LEN($D$82:$D$87)&gt;0)*(LEN($E$82:$E$87)&gt;0))=0,"",IFERROR(INDEX($AN$82:$AN$85,MATCH(LARGE($AP$82:$AP$85,2),$AP$82:$AP$85,0)),""))</f>
        <v>CROATIA</v>
      </c>
      <c r="H83" s="10" cm="1">
        <f t="array" ref="H83">IF(SUMPRODUCT((LEN($D$82:$D$87)&gt;0)*(LEN($E$82:$E$87)&gt;0))=0,"",IFERROR(INDEX($AO$82:$AO$85,MATCH(LARGE($AP$82:$AP$85,2),$AP$82:$AP$85,0)),""))</f>
        <v>6</v>
      </c>
      <c r="AN83" s="34" t="str">
        <f>C82</f>
        <v>CROATIA</v>
      </c>
      <c r="AO83" s="34" cm="1">
        <f t="array" ref="AO83">3*SUMPRODUCT(($B$82:$B$87=AN83)*($D$82:$D$87&gt;$E$82:$E$87))+3*SUMPRODUCT(($C$82:$C$87=AN83)*($E$82:$E$87&gt;$D$82:$D$87))+SUMPRODUCT((($B$82:$B$87=AN83)+($C$82:$C$87=AN83))*($D$82:$D$87=$E$82:$E$87)*(LEN($D$82:$D$87)&gt;0))</f>
        <v>6</v>
      </c>
      <c r="AP83" s="34">
        <f>AO83*1000000+(AQ83-AR83)*1000+AQ83*10-1</f>
        <v>6001039</v>
      </c>
      <c r="AQ83" s="34" cm="1">
        <f t="array" ref="AQ83">SUMPRODUCT(($B$82:$B$87=AN83)*$D$82:$D$87)+SUMPRODUCT(($C$82:$C$87=AN83)*$E$82:$E$87)</f>
        <v>4</v>
      </c>
      <c r="AR83" s="34" cm="1">
        <f t="array" ref="AR83">SUMPRODUCT(($B$82:$B$87=AN83)*$E$82:$E$87)+SUMPRODUCT(($C$82:$C$87=AN83)*$D$82:$D$87)</f>
        <v>3</v>
      </c>
      <c r="AW83" s="35"/>
      <c r="AX83" s="3"/>
      <c r="AY83" s="3"/>
      <c r="AZ83" s="3"/>
    </row>
    <row r="84" spans="2:52" ht="20.100000000000001" customHeight="1" x14ac:dyDescent="0.2">
      <c r="B84" s="7" t="s">
        <v>656</v>
      </c>
      <c r="C84" s="7" t="s">
        <v>657</v>
      </c>
      <c r="D84" s="8">
        <v>2</v>
      </c>
      <c r="E84" s="8">
        <v>0</v>
      </c>
      <c r="F84" s="26" t="s">
        <v>63</v>
      </c>
      <c r="G84" s="17" t="str" cm="1">
        <f t="array" ref="G84">IF(SUMPRODUCT((LEN($D$82:$D$87)&gt;0)*(LEN($E$82:$E$87)&gt;0))=0,"",IFERROR(INDEX($AN$82:$AN$85,MATCH(LARGE($AP$82:$AP$85,3),$AP$82:$AP$85,0)),""))</f>
        <v>GHANA</v>
      </c>
      <c r="H84" s="17" cm="1">
        <f t="array" ref="H84">IF(SUMPRODUCT((LEN($D$82:$D$87)&gt;0)*(LEN($E$82:$E$87)&gt;0))=0,"",IFERROR(INDEX($AO$82:$AO$85,MATCH(LARGE($AP$82:$AP$85,3),$AP$82:$AP$85,0)),""))</f>
        <v>1</v>
      </c>
      <c r="AN84" s="34" t="str">
        <f>B83</f>
        <v>GHANA</v>
      </c>
      <c r="AO84" s="34" cm="1">
        <f t="array" ref="AO84">3*SUMPRODUCT(($B$82:$B$87=AN84)*($D$82:$D$87&gt;$E$82:$E$87))+3*SUMPRODUCT(($C$82:$C$87=AN84)*($E$82:$E$87&gt;$D$82:$D$87))+SUMPRODUCT((($B$82:$B$87=AN84)+($C$82:$C$87=AN84))*($D$82:$D$87=$E$82:$E$87)*(LEN($D$82:$D$87)&gt;0))</f>
        <v>1</v>
      </c>
      <c r="AP84" s="34">
        <f>AO84*1000000+(AQ84-AR84)*1000+AQ84*10-2</f>
        <v>997018</v>
      </c>
      <c r="AQ84" s="34" cm="1">
        <f t="array" ref="AQ84">SUMPRODUCT(($B$82:$B$87=AN84)*$D$82:$D$87)+SUMPRODUCT(($C$82:$C$87=AN84)*$E$82:$E$87)</f>
        <v>2</v>
      </c>
      <c r="AR84" s="34" cm="1">
        <f t="array" ref="AR84">SUMPRODUCT(($B$82:$B$87=AN84)*$E$82:$E$87)+SUMPRODUCT(($C$82:$C$87=AN84)*$D$82:$D$87)</f>
        <v>5</v>
      </c>
      <c r="AW84" s="35"/>
      <c r="AX84" s="3"/>
      <c r="AY84" s="3"/>
      <c r="AZ84" s="3"/>
    </row>
    <row r="85" spans="2:52" ht="20.100000000000001" customHeight="1" x14ac:dyDescent="0.2">
      <c r="B85" s="7" t="s">
        <v>658</v>
      </c>
      <c r="C85" s="7" t="s">
        <v>659</v>
      </c>
      <c r="D85" s="8">
        <v>0</v>
      </c>
      <c r="E85" s="8">
        <v>1</v>
      </c>
      <c r="F85" s="27" t="s">
        <v>64</v>
      </c>
      <c r="G85" s="7" t="str" cm="1">
        <f t="array" ref="G85">IF(SUMPRODUCT((LEN($D$82:$D$87)&gt;0)*(LEN($E$82:$E$87)&gt;0))=0,"",IFERROR(INDEX($AN$82:$AN$85,MATCH(LARGE($AP$82:$AP$85,4),$AP$82:$AP$85,0)),""))</f>
        <v>PANAMA</v>
      </c>
      <c r="H85" s="7" cm="1">
        <f t="array" ref="H85">IF(SUMPRODUCT((LEN($D$82:$D$87)&gt;0)*(LEN($E$82:$E$87)&gt;0))=0,"",IFERROR(INDEX($AO$82:$AO$85,MATCH(LARGE($AP$82:$AP$85,4),$AP$82:$AP$85,0)),""))</f>
        <v>1</v>
      </c>
      <c r="AN85" s="34" t="str">
        <f>C83</f>
        <v>PANAMA</v>
      </c>
      <c r="AO85" s="34" cm="1">
        <f t="array" ref="AO85">3*SUMPRODUCT(($B$82:$B$87=AN85)*($D$82:$D$87&gt;$E$82:$E$87))+3*SUMPRODUCT(($C$82:$C$87=AN85)*($E$82:$E$87&gt;$D$82:$D$87))+SUMPRODUCT((($B$82:$B$87=AN85)+($C$82:$C$87=AN85))*($D$82:$D$87=$E$82:$E$87)*(LEN($D$82:$D$87)&gt;0))</f>
        <v>1</v>
      </c>
      <c r="AP85" s="34">
        <f>AO85*1000000+(AQ85-AR85)*1000+AQ85*10-3</f>
        <v>996007</v>
      </c>
      <c r="AQ85" s="34" cm="1">
        <f t="array" ref="AQ85">SUMPRODUCT(($B$82:$B$87=AN85)*$D$82:$D$87)+SUMPRODUCT(($C$82:$C$87=AN85)*$E$82:$E$87)</f>
        <v>1</v>
      </c>
      <c r="AR85" s="34" cm="1">
        <f t="array" ref="AR85">SUMPRODUCT(($B$82:$B$87=AN85)*$E$82:$E$87)+SUMPRODUCT(($C$82:$C$87=AN85)*$D$82:$D$87)</f>
        <v>5</v>
      </c>
      <c r="AW85" s="35"/>
      <c r="AX85" s="3"/>
      <c r="AY85" s="3"/>
      <c r="AZ85" s="3"/>
    </row>
    <row r="86" spans="2:52" ht="20.100000000000001" customHeight="1" x14ac:dyDescent="0.2">
      <c r="B86" s="7" t="s">
        <v>658</v>
      </c>
      <c r="C86" s="7" t="s">
        <v>656</v>
      </c>
      <c r="D86" s="8">
        <v>0</v>
      </c>
      <c r="E86" s="8">
        <v>3</v>
      </c>
      <c r="H86" s="28"/>
      <c r="AW86" s="35"/>
      <c r="AX86" s="3"/>
      <c r="AY86" s="3"/>
      <c r="AZ86" s="3"/>
    </row>
    <row r="87" spans="2:52" ht="20.100000000000001" customHeight="1" x14ac:dyDescent="0.2">
      <c r="B87" s="7" t="s">
        <v>659</v>
      </c>
      <c r="C87" s="7" t="s">
        <v>657</v>
      </c>
      <c r="D87" s="8">
        <v>2</v>
      </c>
      <c r="E87" s="8">
        <v>1</v>
      </c>
      <c r="F87" s="23"/>
      <c r="G87" s="23"/>
      <c r="H87" s="24"/>
      <c r="AW87" s="35"/>
      <c r="AX87" s="3"/>
      <c r="AY87" s="3"/>
      <c r="AZ87" s="3"/>
    </row>
  </sheetData>
  <sheetProtection algorithmName="SHA-512" hashValue="P4kE2+Ten50n0Z9DgKEnMZqgbMxUaPXdCBFog75Wca/lN6vQAENfaenod4EmHhE6Zf5/wF7VnVWkUgYKYyFfAg==" saltValue="MVM+X39TqLeSlHvxvf9Ieg==" spinCount="100000" sheet="1" objects="1" scenarios="1" selectLockedCells="1"/>
  <mergeCells count="94">
    <mergeCell ref="AD2:AG3"/>
    <mergeCell ref="R47:R48"/>
    <mergeCell ref="R55:R56"/>
    <mergeCell ref="R63:R64"/>
    <mergeCell ref="V11:V12"/>
    <mergeCell ref="W11:W12"/>
    <mergeCell ref="V27:V28"/>
    <mergeCell ref="W27:W28"/>
    <mergeCell ref="V59:V60"/>
    <mergeCell ref="W59:W60"/>
    <mergeCell ref="AA51:AA52"/>
    <mergeCell ref="AD59:AL60"/>
    <mergeCell ref="AB51:AB52"/>
    <mergeCell ref="AF35:AF36"/>
    <mergeCell ref="AG35:AG36"/>
    <mergeCell ref="AD40:AG41"/>
    <mergeCell ref="L5:L6"/>
    <mergeCell ref="M5:M6"/>
    <mergeCell ref="B4:H4"/>
    <mergeCell ref="B2:H3"/>
    <mergeCell ref="Y2:AB3"/>
    <mergeCell ref="J2:M3"/>
    <mergeCell ref="O2:R3"/>
    <mergeCell ref="T2:W3"/>
    <mergeCell ref="B25:H25"/>
    <mergeCell ref="R23:R24"/>
    <mergeCell ref="B18:H18"/>
    <mergeCell ref="AB19:AB20"/>
    <mergeCell ref="B11:H11"/>
    <mergeCell ref="R15:R16"/>
    <mergeCell ref="AA19:AA20"/>
    <mergeCell ref="B32:H32"/>
    <mergeCell ref="B39:H39"/>
    <mergeCell ref="M37:M38"/>
    <mergeCell ref="L41:L42"/>
    <mergeCell ref="M41:M42"/>
    <mergeCell ref="B46:H46"/>
    <mergeCell ref="B53:H53"/>
    <mergeCell ref="B60:H60"/>
    <mergeCell ref="B67:H67"/>
    <mergeCell ref="B74:H74"/>
    <mergeCell ref="B81:H81"/>
    <mergeCell ref="L9:L10"/>
    <mergeCell ref="M9:M10"/>
    <mergeCell ref="L13:L14"/>
    <mergeCell ref="M13:M14"/>
    <mergeCell ref="L17:L18"/>
    <mergeCell ref="M17:M18"/>
    <mergeCell ref="L21:L22"/>
    <mergeCell ref="M21:M22"/>
    <mergeCell ref="L25:L26"/>
    <mergeCell ref="M25:M26"/>
    <mergeCell ref="L29:L30"/>
    <mergeCell ref="M29:M30"/>
    <mergeCell ref="L33:L34"/>
    <mergeCell ref="M33:M34"/>
    <mergeCell ref="L37:L38"/>
    <mergeCell ref="L65:L66"/>
    <mergeCell ref="M65:M66"/>
    <mergeCell ref="Q7:Q8"/>
    <mergeCell ref="Q15:Q16"/>
    <mergeCell ref="Q23:Q24"/>
    <mergeCell ref="Q31:Q32"/>
    <mergeCell ref="Q39:Q40"/>
    <mergeCell ref="Q47:Q48"/>
    <mergeCell ref="Q55:Q56"/>
    <mergeCell ref="Q63:Q64"/>
    <mergeCell ref="L49:L50"/>
    <mergeCell ref="M49:M50"/>
    <mergeCell ref="L53:L54"/>
    <mergeCell ref="M53:M54"/>
    <mergeCell ref="L57:L58"/>
    <mergeCell ref="M57:M58"/>
    <mergeCell ref="L61:L62"/>
    <mergeCell ref="M61:M62"/>
    <mergeCell ref="L45:L46"/>
    <mergeCell ref="M45:M46"/>
    <mergeCell ref="R31:R32"/>
    <mergeCell ref="R39:R40"/>
    <mergeCell ref="R7:R8"/>
    <mergeCell ref="AI42:AL43"/>
    <mergeCell ref="AI44:AJ44"/>
    <mergeCell ref="AK44:AL44"/>
    <mergeCell ref="AJ38:AL38"/>
    <mergeCell ref="AF43:AF44"/>
    <mergeCell ref="AG43:AG44"/>
    <mergeCell ref="AJ35:AL35"/>
    <mergeCell ref="AJ36:AL36"/>
    <mergeCell ref="AJ37:AL37"/>
    <mergeCell ref="AD63:AH66"/>
    <mergeCell ref="AJ63:AL66"/>
    <mergeCell ref="AD55:AL58"/>
    <mergeCell ref="V43:V44"/>
    <mergeCell ref="W43:W44"/>
  </mergeCells>
  <phoneticPr fontId="3" type="noConversion"/>
  <dataValidations count="13">
    <dataValidation type="list" allowBlank="1" showInputMessage="1" showErrorMessage="1" sqref="G5:G8" xr:uid="{0933C707-A262-7748-BEE8-4DBE75695DCA}">
      <formula1>"Germania,Scozia,Svizzera,Ungheria"</formula1>
    </dataValidation>
    <dataValidation type="list" allowBlank="1" showInputMessage="1" showErrorMessage="1" sqref="G12:G15" xr:uid="{118CDE01-0FB9-E44F-A0B5-99BD3C2B0F3E}">
      <formula1>"Albania,Croazia,Italia,Spagna"</formula1>
    </dataValidation>
    <dataValidation type="list" allowBlank="1" showInputMessage="1" showErrorMessage="1" sqref="G19:G22" xr:uid="{C2F268AD-507E-7E4B-8EE7-195C0D06F040}">
      <formula1>"Danimarca,Inghilterra,Serbia,Slovenia"</formula1>
    </dataValidation>
    <dataValidation type="list" allowBlank="1" showInputMessage="1" showErrorMessage="1" sqref="G26:G29" xr:uid="{EBF4FE65-A00C-204C-9AF9-CC371A08CAC7}">
      <formula1>"Austria,Francia,Olanda,Polonia"</formula1>
    </dataValidation>
    <dataValidation type="list" allowBlank="1" showInputMessage="1" showErrorMessage="1" sqref="G33:G36" xr:uid="{64FCE723-09FB-9146-8E50-AB49B52C2EC7}">
      <formula1>"Belgio,Romania,Slovacchia,Ucraina"</formula1>
    </dataValidation>
    <dataValidation type="list" allowBlank="1" showInputMessage="1" showErrorMessage="1" sqref="G40:G43" xr:uid="{A08FE7BC-BE04-3749-B458-20D3B64E77A0}">
      <formula1>"Cechia,Georgia,Portogallo,Turchia"</formula1>
    </dataValidation>
    <dataValidation type="list" allowBlank="1" showInputMessage="1" showErrorMessage="1" sqref="H5 H12 H19 H26 H33 H40" xr:uid="{4A29A03F-0955-0748-BECE-985C82A25CA4}">
      <formula1>"9,7,6,5,4,3"</formula1>
    </dataValidation>
    <dataValidation type="list" allowBlank="1" showInputMessage="1" showErrorMessage="1" sqref="H6 H13 H20 H27 H34 H41" xr:uid="{8ABAAE59-B1D9-E440-BE0C-18CA18F7EF9A}">
      <formula1>"7,6,5,4,3"</formula1>
    </dataValidation>
    <dataValidation type="list" allowBlank="1" showInputMessage="1" showErrorMessage="1" sqref="H7 H14 H21 H28 H35 H42" xr:uid="{AAA35F22-FCFB-0942-8FCB-25B9CBBAAAAB}">
      <formula1>"6,5,4,3,2,1"</formula1>
    </dataValidation>
    <dataValidation type="list" allowBlank="1" showInputMessage="1" showErrorMessage="1" sqref="H8 H15 H22 H29 H36 H43" xr:uid="{7CE73C75-9DF9-9F4B-9583-527B8A79B6AE}">
      <formula1>"4,3,2,1,0"</formula1>
    </dataValidation>
    <dataValidation type="list" allowBlank="1" showInputMessage="1" showErrorMessage="1" sqref="L5 L9 L13 L17 L21 L25 L29 L33 L37 L41 L45 L49 L53 L57 L61 L65 Q7 Q15 Q23 Q31 AF43 Q47 Q55 Q63 V11 V27 V43 V59 AA19 AA51 AF35 Q39" xr:uid="{F9BEFBE3-AF93-B649-91EF-B0680E35CA42}">
      <formula1>"1,2"</formula1>
    </dataValidation>
    <dataValidation type="whole" operator="greaterThanOrEqual" allowBlank="1" showInputMessage="1" showErrorMessage="1" sqref="D5:E10 D12:E17 D19:E24 D82:E87 D61:E66 D68:E73 D75:E80" xr:uid="{B16DF40B-9CDA-F246-A8B4-AA65D12B07D3}">
      <formula1>0</formula1>
    </dataValidation>
    <dataValidation type="whole" operator="greaterThan" allowBlank="1" showInputMessage="1" showErrorMessage="1" sqref="AK44:AL44" xr:uid="{ACF34A25-2EAD-2B4F-8781-3FC13486F821}">
      <formula1>0</formula1>
    </dataValidation>
  </dataValidations>
  <hyperlinks>
    <hyperlink ref="AD55:AL58" r:id="rId1" display="TO SUBMIT THE BRACKET CLICK HERE AND ATTACH YOUR EXCEL FILE" xr:uid="{089089A4-E94C-7E43-BDA3-B05976F8E652}"/>
    <hyperlink ref="AD63:AH66" r:id="rId2" display="CLICK TO PAY ADMISSION FEE (10 EUR / 75 DKK)" xr:uid="{7E6BE512-39DF-C74A-975A-CDDF13B21BB1}"/>
    <hyperlink ref="AJ63:AL66" r:id="rId3" display="CLICK TO JOIN THE WHATSAPP GROUP" xr:uid="{E9A3CCCC-5F59-4F41-A2E7-B917F2EE6BB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15E6D-68EA-4AFA-A96D-F540FB253E3D}">
  <dimension ref="A1:J496"/>
  <sheetViews>
    <sheetView workbookViewId="0"/>
  </sheetViews>
  <sheetFormatPr defaultColWidth="8.875" defaultRowHeight="16.5" x14ac:dyDescent="0.25"/>
  <cols>
    <col min="1" max="1" width="4.19140625" style="1" bestFit="1" customWidth="1"/>
    <col min="2" max="2" width="24.2890625" style="1" bestFit="1" customWidth="1"/>
    <col min="3" max="4" width="5.546875" style="1" bestFit="1" customWidth="1"/>
    <col min="5" max="5" width="5.671875" style="1" bestFit="1" customWidth="1"/>
    <col min="6" max="6" width="5.546875" style="1" bestFit="1" customWidth="1"/>
    <col min="7" max="7" width="5.79296875" style="1" bestFit="1" customWidth="1"/>
    <col min="8" max="8" width="4.80859375" style="1" bestFit="1" customWidth="1"/>
    <col min="9" max="9" width="5.546875" style="1" bestFit="1" customWidth="1"/>
    <col min="10" max="10" width="5.30078125" style="1" bestFit="1" customWidth="1"/>
    <col min="11" max="16384" width="8.875" style="1"/>
  </cols>
  <sheetData>
    <row r="1" spans="1:10" x14ac:dyDescent="0.25">
      <c r="A1" s="1" t="s">
        <v>86</v>
      </c>
      <c r="B1" s="1" t="s">
        <v>87</v>
      </c>
      <c r="C1" s="1" t="s">
        <v>88</v>
      </c>
      <c r="D1" s="1" t="s">
        <v>89</v>
      </c>
      <c r="E1" s="1" t="s">
        <v>90</v>
      </c>
      <c r="F1" s="1" t="s">
        <v>91</v>
      </c>
      <c r="G1" s="1" t="s">
        <v>92</v>
      </c>
      <c r="H1" s="1" t="s">
        <v>93</v>
      </c>
      <c r="I1" s="1" t="s">
        <v>94</v>
      </c>
      <c r="J1" s="1" t="s">
        <v>95</v>
      </c>
    </row>
    <row r="2" spans="1:10" x14ac:dyDescent="0.25">
      <c r="A2" s="1">
        <v>1</v>
      </c>
      <c r="B2" s="1" t="s">
        <v>96</v>
      </c>
      <c r="C2" s="1" t="s">
        <v>18</v>
      </c>
      <c r="D2" s="1" t="s">
        <v>55</v>
      </c>
      <c r="E2" s="1" t="s">
        <v>51</v>
      </c>
      <c r="F2" s="1" t="s">
        <v>22</v>
      </c>
      <c r="G2" s="1" t="s">
        <v>47</v>
      </c>
      <c r="H2" s="1" t="s">
        <v>43</v>
      </c>
      <c r="I2" s="1" t="s">
        <v>63</v>
      </c>
      <c r="J2" s="1" t="s">
        <v>59</v>
      </c>
    </row>
    <row r="3" spans="1:10" x14ac:dyDescent="0.25">
      <c r="A3" s="1">
        <v>2</v>
      </c>
      <c r="B3" s="1" t="s">
        <v>97</v>
      </c>
      <c r="C3" s="1" t="s">
        <v>47</v>
      </c>
      <c r="D3" s="1" t="s">
        <v>43</v>
      </c>
      <c r="E3" s="1" t="s">
        <v>51</v>
      </c>
      <c r="F3" s="1" t="s">
        <v>14</v>
      </c>
      <c r="G3" s="1" t="s">
        <v>55</v>
      </c>
      <c r="H3" s="1" t="s">
        <v>22</v>
      </c>
      <c r="I3" s="1" t="s">
        <v>63</v>
      </c>
      <c r="J3" s="1" t="s">
        <v>59</v>
      </c>
    </row>
    <row r="4" spans="1:10" x14ac:dyDescent="0.25">
      <c r="A4" s="1">
        <v>3</v>
      </c>
      <c r="B4" s="1" t="s">
        <v>98</v>
      </c>
      <c r="C4" s="1" t="s">
        <v>18</v>
      </c>
      <c r="D4" s="1" t="s">
        <v>55</v>
      </c>
      <c r="E4" s="1" t="s">
        <v>51</v>
      </c>
      <c r="F4" s="1" t="s">
        <v>14</v>
      </c>
      <c r="G4" s="1" t="s">
        <v>47</v>
      </c>
      <c r="H4" s="1" t="s">
        <v>43</v>
      </c>
      <c r="I4" s="1" t="s">
        <v>63</v>
      </c>
      <c r="J4" s="1" t="s">
        <v>59</v>
      </c>
    </row>
    <row r="5" spans="1:10" x14ac:dyDescent="0.25">
      <c r="A5" s="1">
        <v>4</v>
      </c>
      <c r="B5" s="1" t="s">
        <v>99</v>
      </c>
      <c r="C5" s="1" t="s">
        <v>18</v>
      </c>
      <c r="D5" s="1" t="s">
        <v>55</v>
      </c>
      <c r="E5" s="1" t="s">
        <v>51</v>
      </c>
      <c r="F5" s="1" t="s">
        <v>14</v>
      </c>
      <c r="G5" s="1" t="s">
        <v>47</v>
      </c>
      <c r="H5" s="1" t="s">
        <v>22</v>
      </c>
      <c r="I5" s="1" t="s">
        <v>63</v>
      </c>
      <c r="J5" s="1" t="s">
        <v>59</v>
      </c>
    </row>
    <row r="6" spans="1:10" x14ac:dyDescent="0.25">
      <c r="A6" s="1">
        <v>5</v>
      </c>
      <c r="B6" s="1" t="s">
        <v>100</v>
      </c>
      <c r="C6" s="1" t="s">
        <v>18</v>
      </c>
      <c r="D6" s="1" t="s">
        <v>43</v>
      </c>
      <c r="E6" s="1" t="s">
        <v>51</v>
      </c>
      <c r="F6" s="1" t="s">
        <v>14</v>
      </c>
      <c r="G6" s="1" t="s">
        <v>55</v>
      </c>
      <c r="H6" s="1" t="s">
        <v>22</v>
      </c>
      <c r="I6" s="1" t="s">
        <v>63</v>
      </c>
      <c r="J6" s="1" t="s">
        <v>59</v>
      </c>
    </row>
    <row r="7" spans="1:10" x14ac:dyDescent="0.25">
      <c r="A7" s="1">
        <v>6</v>
      </c>
      <c r="B7" s="1" t="s">
        <v>101</v>
      </c>
      <c r="C7" s="1" t="s">
        <v>18</v>
      </c>
      <c r="D7" s="1" t="s">
        <v>43</v>
      </c>
      <c r="E7" s="1" t="s">
        <v>55</v>
      </c>
      <c r="F7" s="1" t="s">
        <v>14</v>
      </c>
      <c r="G7" s="1" t="s">
        <v>47</v>
      </c>
      <c r="H7" s="1" t="s">
        <v>22</v>
      </c>
      <c r="I7" s="1" t="s">
        <v>63</v>
      </c>
      <c r="J7" s="1" t="s">
        <v>59</v>
      </c>
    </row>
    <row r="8" spans="1:10" x14ac:dyDescent="0.25">
      <c r="A8" s="1">
        <v>7</v>
      </c>
      <c r="B8" s="1" t="s">
        <v>102</v>
      </c>
      <c r="C8" s="1" t="s">
        <v>18</v>
      </c>
      <c r="D8" s="1" t="s">
        <v>43</v>
      </c>
      <c r="E8" s="1" t="s">
        <v>51</v>
      </c>
      <c r="F8" s="1" t="s">
        <v>14</v>
      </c>
      <c r="G8" s="1" t="s">
        <v>47</v>
      </c>
      <c r="H8" s="1" t="s">
        <v>22</v>
      </c>
      <c r="I8" s="1" t="s">
        <v>63</v>
      </c>
      <c r="J8" s="1" t="s">
        <v>59</v>
      </c>
    </row>
    <row r="9" spans="1:10" x14ac:dyDescent="0.25">
      <c r="A9" s="1">
        <v>8</v>
      </c>
      <c r="B9" s="1" t="s">
        <v>103</v>
      </c>
      <c r="C9" s="1" t="s">
        <v>18</v>
      </c>
      <c r="D9" s="1" t="s">
        <v>43</v>
      </c>
      <c r="E9" s="1" t="s">
        <v>55</v>
      </c>
      <c r="F9" s="1" t="s">
        <v>14</v>
      </c>
      <c r="G9" s="1" t="s">
        <v>47</v>
      </c>
      <c r="H9" s="1" t="s">
        <v>22</v>
      </c>
      <c r="I9" s="1" t="s">
        <v>63</v>
      </c>
      <c r="J9" s="1" t="s">
        <v>51</v>
      </c>
    </row>
    <row r="10" spans="1:10" x14ac:dyDescent="0.25">
      <c r="A10" s="1">
        <v>9</v>
      </c>
      <c r="B10" s="1" t="s">
        <v>104</v>
      </c>
      <c r="C10" s="1" t="s">
        <v>18</v>
      </c>
      <c r="D10" s="1" t="s">
        <v>43</v>
      </c>
      <c r="E10" s="1" t="s">
        <v>55</v>
      </c>
      <c r="F10" s="1" t="s">
        <v>14</v>
      </c>
      <c r="G10" s="1" t="s">
        <v>47</v>
      </c>
      <c r="H10" s="1" t="s">
        <v>22</v>
      </c>
      <c r="I10" s="1" t="s">
        <v>51</v>
      </c>
      <c r="J10" s="1" t="s">
        <v>59</v>
      </c>
    </row>
    <row r="11" spans="1:10" x14ac:dyDescent="0.25">
      <c r="A11" s="1">
        <v>10</v>
      </c>
      <c r="B11" s="1" t="s">
        <v>105</v>
      </c>
      <c r="C11" s="1" t="s">
        <v>47</v>
      </c>
      <c r="D11" s="1" t="s">
        <v>43</v>
      </c>
      <c r="E11" s="1" t="s">
        <v>51</v>
      </c>
      <c r="F11" s="1" t="s">
        <v>10</v>
      </c>
      <c r="G11" s="1" t="s">
        <v>55</v>
      </c>
      <c r="H11" s="1" t="s">
        <v>22</v>
      </c>
      <c r="I11" s="1" t="s">
        <v>63</v>
      </c>
      <c r="J11" s="1" t="s">
        <v>59</v>
      </c>
    </row>
    <row r="12" spans="1:10" x14ac:dyDescent="0.25">
      <c r="A12" s="1">
        <v>11</v>
      </c>
      <c r="B12" s="1" t="s">
        <v>106</v>
      </c>
      <c r="C12" s="1" t="s">
        <v>18</v>
      </c>
      <c r="D12" s="1" t="s">
        <v>55</v>
      </c>
      <c r="E12" s="1" t="s">
        <v>51</v>
      </c>
      <c r="F12" s="1" t="s">
        <v>10</v>
      </c>
      <c r="G12" s="1" t="s">
        <v>47</v>
      </c>
      <c r="H12" s="1" t="s">
        <v>43</v>
      </c>
      <c r="I12" s="1" t="s">
        <v>63</v>
      </c>
      <c r="J12" s="1" t="s">
        <v>59</v>
      </c>
    </row>
    <row r="13" spans="1:10" x14ac:dyDescent="0.25">
      <c r="A13" s="1">
        <v>12</v>
      </c>
      <c r="B13" s="1" t="s">
        <v>107</v>
      </c>
      <c r="C13" s="1" t="s">
        <v>18</v>
      </c>
      <c r="D13" s="1" t="s">
        <v>55</v>
      </c>
      <c r="E13" s="1" t="s">
        <v>51</v>
      </c>
      <c r="F13" s="1" t="s">
        <v>10</v>
      </c>
      <c r="G13" s="1" t="s">
        <v>47</v>
      </c>
      <c r="H13" s="1" t="s">
        <v>22</v>
      </c>
      <c r="I13" s="1" t="s">
        <v>63</v>
      </c>
      <c r="J13" s="1" t="s">
        <v>59</v>
      </c>
    </row>
    <row r="14" spans="1:10" x14ac:dyDescent="0.25">
      <c r="A14" s="1">
        <v>13</v>
      </c>
      <c r="B14" s="1" t="s">
        <v>108</v>
      </c>
      <c r="C14" s="1" t="s">
        <v>18</v>
      </c>
      <c r="D14" s="1" t="s">
        <v>43</v>
      </c>
      <c r="E14" s="1" t="s">
        <v>51</v>
      </c>
      <c r="F14" s="1" t="s">
        <v>10</v>
      </c>
      <c r="G14" s="1" t="s">
        <v>55</v>
      </c>
      <c r="H14" s="1" t="s">
        <v>22</v>
      </c>
      <c r="I14" s="1" t="s">
        <v>63</v>
      </c>
      <c r="J14" s="1" t="s">
        <v>59</v>
      </c>
    </row>
    <row r="15" spans="1:10" x14ac:dyDescent="0.25">
      <c r="A15" s="1">
        <v>14</v>
      </c>
      <c r="B15" s="1" t="s">
        <v>109</v>
      </c>
      <c r="C15" s="1" t="s">
        <v>18</v>
      </c>
      <c r="D15" s="1" t="s">
        <v>43</v>
      </c>
      <c r="E15" s="1" t="s">
        <v>55</v>
      </c>
      <c r="F15" s="1" t="s">
        <v>10</v>
      </c>
      <c r="G15" s="1" t="s">
        <v>47</v>
      </c>
      <c r="H15" s="1" t="s">
        <v>22</v>
      </c>
      <c r="I15" s="1" t="s">
        <v>63</v>
      </c>
      <c r="J15" s="1" t="s">
        <v>59</v>
      </c>
    </row>
    <row r="16" spans="1:10" x14ac:dyDescent="0.25">
      <c r="A16" s="1">
        <v>15</v>
      </c>
      <c r="B16" s="1" t="s">
        <v>110</v>
      </c>
      <c r="C16" s="1" t="s">
        <v>18</v>
      </c>
      <c r="D16" s="1" t="s">
        <v>43</v>
      </c>
      <c r="E16" s="1" t="s">
        <v>51</v>
      </c>
      <c r="F16" s="1" t="s">
        <v>10</v>
      </c>
      <c r="G16" s="1" t="s">
        <v>47</v>
      </c>
      <c r="H16" s="1" t="s">
        <v>22</v>
      </c>
      <c r="I16" s="1" t="s">
        <v>63</v>
      </c>
      <c r="J16" s="1" t="s">
        <v>59</v>
      </c>
    </row>
    <row r="17" spans="1:10" x14ac:dyDescent="0.25">
      <c r="A17" s="1">
        <v>16</v>
      </c>
      <c r="B17" s="1" t="s">
        <v>111</v>
      </c>
      <c r="C17" s="1" t="s">
        <v>18</v>
      </c>
      <c r="D17" s="1" t="s">
        <v>43</v>
      </c>
      <c r="E17" s="1" t="s">
        <v>55</v>
      </c>
      <c r="F17" s="1" t="s">
        <v>10</v>
      </c>
      <c r="G17" s="1" t="s">
        <v>47</v>
      </c>
      <c r="H17" s="1" t="s">
        <v>22</v>
      </c>
      <c r="I17" s="1" t="s">
        <v>63</v>
      </c>
      <c r="J17" s="1" t="s">
        <v>51</v>
      </c>
    </row>
    <row r="18" spans="1:10" x14ac:dyDescent="0.25">
      <c r="A18" s="1">
        <v>17</v>
      </c>
      <c r="B18" s="1" t="s">
        <v>112</v>
      </c>
      <c r="C18" s="1" t="s">
        <v>18</v>
      </c>
      <c r="D18" s="1" t="s">
        <v>43</v>
      </c>
      <c r="E18" s="1" t="s">
        <v>55</v>
      </c>
      <c r="F18" s="1" t="s">
        <v>10</v>
      </c>
      <c r="G18" s="1" t="s">
        <v>47</v>
      </c>
      <c r="H18" s="1" t="s">
        <v>22</v>
      </c>
      <c r="I18" s="1" t="s">
        <v>51</v>
      </c>
      <c r="J18" s="1" t="s">
        <v>59</v>
      </c>
    </row>
    <row r="19" spans="1:10" x14ac:dyDescent="0.25">
      <c r="A19" s="1">
        <v>18</v>
      </c>
      <c r="B19" s="1" t="s">
        <v>113</v>
      </c>
      <c r="C19" s="1" t="s">
        <v>47</v>
      </c>
      <c r="D19" s="1" t="s">
        <v>43</v>
      </c>
      <c r="E19" s="1" t="s">
        <v>51</v>
      </c>
      <c r="F19" s="1" t="s">
        <v>10</v>
      </c>
      <c r="G19" s="1" t="s">
        <v>55</v>
      </c>
      <c r="H19" s="1" t="s">
        <v>14</v>
      </c>
      <c r="I19" s="1" t="s">
        <v>63</v>
      </c>
      <c r="J19" s="1" t="s">
        <v>59</v>
      </c>
    </row>
    <row r="20" spans="1:10" x14ac:dyDescent="0.25">
      <c r="A20" s="1">
        <v>19</v>
      </c>
      <c r="B20" s="1" t="s">
        <v>114</v>
      </c>
      <c r="C20" s="1" t="s">
        <v>10</v>
      </c>
      <c r="D20" s="1" t="s">
        <v>55</v>
      </c>
      <c r="E20" s="1" t="s">
        <v>51</v>
      </c>
      <c r="F20" s="1" t="s">
        <v>14</v>
      </c>
      <c r="G20" s="1" t="s">
        <v>47</v>
      </c>
      <c r="H20" s="1" t="s">
        <v>22</v>
      </c>
      <c r="I20" s="1" t="s">
        <v>63</v>
      </c>
      <c r="J20" s="1" t="s">
        <v>59</v>
      </c>
    </row>
    <row r="21" spans="1:10" x14ac:dyDescent="0.25">
      <c r="A21" s="1">
        <v>20</v>
      </c>
      <c r="B21" s="1" t="s">
        <v>115</v>
      </c>
      <c r="C21" s="1" t="s">
        <v>10</v>
      </c>
      <c r="D21" s="1" t="s">
        <v>43</v>
      </c>
      <c r="E21" s="1" t="s">
        <v>51</v>
      </c>
      <c r="F21" s="1" t="s">
        <v>14</v>
      </c>
      <c r="G21" s="1" t="s">
        <v>55</v>
      </c>
      <c r="H21" s="1" t="s">
        <v>22</v>
      </c>
      <c r="I21" s="1" t="s">
        <v>63</v>
      </c>
      <c r="J21" s="1" t="s">
        <v>59</v>
      </c>
    </row>
    <row r="22" spans="1:10" x14ac:dyDescent="0.25">
      <c r="A22" s="1">
        <v>21</v>
      </c>
      <c r="B22" s="1" t="s">
        <v>116</v>
      </c>
      <c r="C22" s="1" t="s">
        <v>10</v>
      </c>
      <c r="D22" s="1" t="s">
        <v>43</v>
      </c>
      <c r="E22" s="1" t="s">
        <v>55</v>
      </c>
      <c r="F22" s="1" t="s">
        <v>14</v>
      </c>
      <c r="G22" s="1" t="s">
        <v>47</v>
      </c>
      <c r="H22" s="1" t="s">
        <v>22</v>
      </c>
      <c r="I22" s="1" t="s">
        <v>63</v>
      </c>
      <c r="J22" s="1" t="s">
        <v>59</v>
      </c>
    </row>
    <row r="23" spans="1:10" x14ac:dyDescent="0.25">
      <c r="A23" s="1">
        <v>22</v>
      </c>
      <c r="B23" s="1" t="s">
        <v>117</v>
      </c>
      <c r="C23" s="1" t="s">
        <v>10</v>
      </c>
      <c r="D23" s="1" t="s">
        <v>43</v>
      </c>
      <c r="E23" s="1" t="s">
        <v>51</v>
      </c>
      <c r="F23" s="1" t="s">
        <v>14</v>
      </c>
      <c r="G23" s="1" t="s">
        <v>47</v>
      </c>
      <c r="H23" s="1" t="s">
        <v>22</v>
      </c>
      <c r="I23" s="1" t="s">
        <v>63</v>
      </c>
      <c r="J23" s="1" t="s">
        <v>59</v>
      </c>
    </row>
    <row r="24" spans="1:10" x14ac:dyDescent="0.25">
      <c r="A24" s="1">
        <v>23</v>
      </c>
      <c r="B24" s="1" t="s">
        <v>118</v>
      </c>
      <c r="C24" s="1" t="s">
        <v>10</v>
      </c>
      <c r="D24" s="1" t="s">
        <v>43</v>
      </c>
      <c r="E24" s="1" t="s">
        <v>55</v>
      </c>
      <c r="F24" s="1" t="s">
        <v>14</v>
      </c>
      <c r="G24" s="1" t="s">
        <v>47</v>
      </c>
      <c r="H24" s="1" t="s">
        <v>22</v>
      </c>
      <c r="I24" s="1" t="s">
        <v>63</v>
      </c>
      <c r="J24" s="1" t="s">
        <v>51</v>
      </c>
    </row>
    <row r="25" spans="1:10" x14ac:dyDescent="0.25">
      <c r="A25" s="1">
        <v>24</v>
      </c>
      <c r="B25" s="1" t="s">
        <v>119</v>
      </c>
      <c r="C25" s="1" t="s">
        <v>10</v>
      </c>
      <c r="D25" s="1" t="s">
        <v>43</v>
      </c>
      <c r="E25" s="1" t="s">
        <v>55</v>
      </c>
      <c r="F25" s="1" t="s">
        <v>14</v>
      </c>
      <c r="G25" s="1" t="s">
        <v>47</v>
      </c>
      <c r="H25" s="1" t="s">
        <v>22</v>
      </c>
      <c r="I25" s="1" t="s">
        <v>51</v>
      </c>
      <c r="J25" s="1" t="s">
        <v>59</v>
      </c>
    </row>
    <row r="26" spans="1:10" x14ac:dyDescent="0.25">
      <c r="A26" s="1">
        <v>25</v>
      </c>
      <c r="B26" s="1" t="s">
        <v>120</v>
      </c>
      <c r="C26" s="1" t="s">
        <v>18</v>
      </c>
      <c r="D26" s="1" t="s">
        <v>55</v>
      </c>
      <c r="E26" s="1" t="s">
        <v>51</v>
      </c>
      <c r="F26" s="1" t="s">
        <v>10</v>
      </c>
      <c r="G26" s="1" t="s">
        <v>47</v>
      </c>
      <c r="H26" s="1" t="s">
        <v>14</v>
      </c>
      <c r="I26" s="1" t="s">
        <v>63</v>
      </c>
      <c r="J26" s="1" t="s">
        <v>59</v>
      </c>
    </row>
    <row r="27" spans="1:10" x14ac:dyDescent="0.25">
      <c r="A27" s="1">
        <v>26</v>
      </c>
      <c r="B27" s="1" t="s">
        <v>121</v>
      </c>
      <c r="C27" s="1" t="s">
        <v>18</v>
      </c>
      <c r="D27" s="1" t="s">
        <v>43</v>
      </c>
      <c r="E27" s="1" t="s">
        <v>51</v>
      </c>
      <c r="F27" s="1" t="s">
        <v>10</v>
      </c>
      <c r="G27" s="1" t="s">
        <v>55</v>
      </c>
      <c r="H27" s="1" t="s">
        <v>14</v>
      </c>
      <c r="I27" s="1" t="s">
        <v>63</v>
      </c>
      <c r="J27" s="1" t="s">
        <v>59</v>
      </c>
    </row>
    <row r="28" spans="1:10" x14ac:dyDescent="0.25">
      <c r="A28" s="1">
        <v>27</v>
      </c>
      <c r="B28" s="1" t="s">
        <v>122</v>
      </c>
      <c r="C28" s="1" t="s">
        <v>18</v>
      </c>
      <c r="D28" s="1" t="s">
        <v>43</v>
      </c>
      <c r="E28" s="1" t="s">
        <v>55</v>
      </c>
      <c r="F28" s="1" t="s">
        <v>10</v>
      </c>
      <c r="G28" s="1" t="s">
        <v>47</v>
      </c>
      <c r="H28" s="1" t="s">
        <v>14</v>
      </c>
      <c r="I28" s="1" t="s">
        <v>63</v>
      </c>
      <c r="J28" s="1" t="s">
        <v>59</v>
      </c>
    </row>
    <row r="29" spans="1:10" x14ac:dyDescent="0.25">
      <c r="A29" s="1">
        <v>28</v>
      </c>
      <c r="B29" s="1" t="s">
        <v>123</v>
      </c>
      <c r="C29" s="1" t="s">
        <v>18</v>
      </c>
      <c r="D29" s="1" t="s">
        <v>43</v>
      </c>
      <c r="E29" s="1" t="s">
        <v>51</v>
      </c>
      <c r="F29" s="1" t="s">
        <v>10</v>
      </c>
      <c r="G29" s="1" t="s">
        <v>47</v>
      </c>
      <c r="H29" s="1" t="s">
        <v>14</v>
      </c>
      <c r="I29" s="1" t="s">
        <v>63</v>
      </c>
      <c r="J29" s="1" t="s">
        <v>59</v>
      </c>
    </row>
    <row r="30" spans="1:10" x14ac:dyDescent="0.25">
      <c r="A30" s="1">
        <v>29</v>
      </c>
      <c r="B30" s="1" t="s">
        <v>124</v>
      </c>
      <c r="C30" s="1" t="s">
        <v>18</v>
      </c>
      <c r="D30" s="1" t="s">
        <v>43</v>
      </c>
      <c r="E30" s="1" t="s">
        <v>55</v>
      </c>
      <c r="F30" s="1" t="s">
        <v>10</v>
      </c>
      <c r="G30" s="1" t="s">
        <v>47</v>
      </c>
      <c r="H30" s="1" t="s">
        <v>14</v>
      </c>
      <c r="I30" s="1" t="s">
        <v>63</v>
      </c>
      <c r="J30" s="1" t="s">
        <v>51</v>
      </c>
    </row>
    <row r="31" spans="1:10" x14ac:dyDescent="0.25">
      <c r="A31" s="1">
        <v>30</v>
      </c>
      <c r="B31" s="1" t="s">
        <v>125</v>
      </c>
      <c r="C31" s="1" t="s">
        <v>18</v>
      </c>
      <c r="D31" s="1" t="s">
        <v>43</v>
      </c>
      <c r="E31" s="1" t="s">
        <v>55</v>
      </c>
      <c r="F31" s="1" t="s">
        <v>10</v>
      </c>
      <c r="G31" s="1" t="s">
        <v>47</v>
      </c>
      <c r="H31" s="1" t="s">
        <v>14</v>
      </c>
      <c r="I31" s="1" t="s">
        <v>51</v>
      </c>
      <c r="J31" s="1" t="s">
        <v>59</v>
      </c>
    </row>
    <row r="32" spans="1:10" x14ac:dyDescent="0.25">
      <c r="A32" s="1">
        <v>31</v>
      </c>
      <c r="B32" s="1" t="s">
        <v>126</v>
      </c>
      <c r="C32" s="1" t="s">
        <v>10</v>
      </c>
      <c r="D32" s="1" t="s">
        <v>55</v>
      </c>
      <c r="E32" s="1" t="s">
        <v>18</v>
      </c>
      <c r="F32" s="1" t="s">
        <v>14</v>
      </c>
      <c r="G32" s="1" t="s">
        <v>51</v>
      </c>
      <c r="H32" s="1" t="s">
        <v>22</v>
      </c>
      <c r="I32" s="1" t="s">
        <v>63</v>
      </c>
      <c r="J32" s="1" t="s">
        <v>59</v>
      </c>
    </row>
    <row r="33" spans="1:10" x14ac:dyDescent="0.25">
      <c r="A33" s="1">
        <v>32</v>
      </c>
      <c r="B33" s="1" t="s">
        <v>127</v>
      </c>
      <c r="C33" s="1" t="s">
        <v>10</v>
      </c>
      <c r="D33" s="1" t="s">
        <v>55</v>
      </c>
      <c r="E33" s="1" t="s">
        <v>18</v>
      </c>
      <c r="F33" s="1" t="s">
        <v>14</v>
      </c>
      <c r="G33" s="1" t="s">
        <v>47</v>
      </c>
      <c r="H33" s="1" t="s">
        <v>22</v>
      </c>
      <c r="I33" s="1" t="s">
        <v>63</v>
      </c>
      <c r="J33" s="1" t="s">
        <v>59</v>
      </c>
    </row>
    <row r="34" spans="1:10" x14ac:dyDescent="0.25">
      <c r="A34" s="1">
        <v>33</v>
      </c>
      <c r="B34" s="1" t="s">
        <v>128</v>
      </c>
      <c r="C34" s="1" t="s">
        <v>10</v>
      </c>
      <c r="D34" s="1" t="s">
        <v>18</v>
      </c>
      <c r="E34" s="1" t="s">
        <v>51</v>
      </c>
      <c r="F34" s="1" t="s">
        <v>14</v>
      </c>
      <c r="G34" s="1" t="s">
        <v>47</v>
      </c>
      <c r="H34" s="1" t="s">
        <v>22</v>
      </c>
      <c r="I34" s="1" t="s">
        <v>63</v>
      </c>
      <c r="J34" s="1" t="s">
        <v>59</v>
      </c>
    </row>
    <row r="35" spans="1:10" x14ac:dyDescent="0.25">
      <c r="A35" s="1">
        <v>34</v>
      </c>
      <c r="B35" s="1" t="s">
        <v>129</v>
      </c>
      <c r="C35" s="1" t="s">
        <v>10</v>
      </c>
      <c r="D35" s="1" t="s">
        <v>55</v>
      </c>
      <c r="E35" s="1" t="s">
        <v>18</v>
      </c>
      <c r="F35" s="1" t="s">
        <v>14</v>
      </c>
      <c r="G35" s="1" t="s">
        <v>47</v>
      </c>
      <c r="H35" s="1" t="s">
        <v>22</v>
      </c>
      <c r="I35" s="1" t="s">
        <v>63</v>
      </c>
      <c r="J35" s="1" t="s">
        <v>51</v>
      </c>
    </row>
    <row r="36" spans="1:10" x14ac:dyDescent="0.25">
      <c r="A36" s="1">
        <v>35</v>
      </c>
      <c r="B36" s="1" t="s">
        <v>130</v>
      </c>
      <c r="C36" s="1" t="s">
        <v>10</v>
      </c>
      <c r="D36" s="1" t="s">
        <v>55</v>
      </c>
      <c r="E36" s="1" t="s">
        <v>18</v>
      </c>
      <c r="F36" s="1" t="s">
        <v>14</v>
      </c>
      <c r="G36" s="1" t="s">
        <v>47</v>
      </c>
      <c r="H36" s="1" t="s">
        <v>22</v>
      </c>
      <c r="I36" s="1" t="s">
        <v>51</v>
      </c>
      <c r="J36" s="1" t="s">
        <v>59</v>
      </c>
    </row>
    <row r="37" spans="1:10" x14ac:dyDescent="0.25">
      <c r="A37" s="1">
        <v>36</v>
      </c>
      <c r="B37" s="1" t="s">
        <v>131</v>
      </c>
      <c r="C37" s="1" t="s">
        <v>10</v>
      </c>
      <c r="D37" s="1" t="s">
        <v>43</v>
      </c>
      <c r="E37" s="1" t="s">
        <v>18</v>
      </c>
      <c r="F37" s="1" t="s">
        <v>14</v>
      </c>
      <c r="G37" s="1" t="s">
        <v>55</v>
      </c>
      <c r="H37" s="1" t="s">
        <v>22</v>
      </c>
      <c r="I37" s="1" t="s">
        <v>63</v>
      </c>
      <c r="J37" s="1" t="s">
        <v>59</v>
      </c>
    </row>
    <row r="38" spans="1:10" x14ac:dyDescent="0.25">
      <c r="A38" s="1">
        <v>37</v>
      </c>
      <c r="B38" s="1" t="s">
        <v>132</v>
      </c>
      <c r="C38" s="1" t="s">
        <v>10</v>
      </c>
      <c r="D38" s="1" t="s">
        <v>43</v>
      </c>
      <c r="E38" s="1" t="s">
        <v>18</v>
      </c>
      <c r="F38" s="1" t="s">
        <v>14</v>
      </c>
      <c r="G38" s="1" t="s">
        <v>51</v>
      </c>
      <c r="H38" s="1" t="s">
        <v>22</v>
      </c>
      <c r="I38" s="1" t="s">
        <v>63</v>
      </c>
      <c r="J38" s="1" t="s">
        <v>59</v>
      </c>
    </row>
    <row r="39" spans="1:10" x14ac:dyDescent="0.25">
      <c r="A39" s="1">
        <v>38</v>
      </c>
      <c r="B39" s="1" t="s">
        <v>133</v>
      </c>
      <c r="C39" s="1" t="s">
        <v>10</v>
      </c>
      <c r="D39" s="1" t="s">
        <v>43</v>
      </c>
      <c r="E39" s="1" t="s">
        <v>18</v>
      </c>
      <c r="F39" s="1" t="s">
        <v>14</v>
      </c>
      <c r="G39" s="1" t="s">
        <v>55</v>
      </c>
      <c r="H39" s="1" t="s">
        <v>22</v>
      </c>
      <c r="I39" s="1" t="s">
        <v>63</v>
      </c>
      <c r="J39" s="1" t="s">
        <v>51</v>
      </c>
    </row>
    <row r="40" spans="1:10" x14ac:dyDescent="0.25">
      <c r="A40" s="1">
        <v>39</v>
      </c>
      <c r="B40" s="1" t="s">
        <v>134</v>
      </c>
      <c r="C40" s="1" t="s">
        <v>10</v>
      </c>
      <c r="D40" s="1" t="s">
        <v>43</v>
      </c>
      <c r="E40" s="1" t="s">
        <v>18</v>
      </c>
      <c r="F40" s="1" t="s">
        <v>14</v>
      </c>
      <c r="G40" s="1" t="s">
        <v>55</v>
      </c>
      <c r="H40" s="1" t="s">
        <v>22</v>
      </c>
      <c r="I40" s="1" t="s">
        <v>51</v>
      </c>
      <c r="J40" s="1" t="s">
        <v>59</v>
      </c>
    </row>
    <row r="41" spans="1:10" x14ac:dyDescent="0.25">
      <c r="A41" s="1">
        <v>40</v>
      </c>
      <c r="B41" s="1" t="s">
        <v>135</v>
      </c>
      <c r="C41" s="1" t="s">
        <v>10</v>
      </c>
      <c r="D41" s="1" t="s">
        <v>43</v>
      </c>
      <c r="E41" s="1" t="s">
        <v>18</v>
      </c>
      <c r="F41" s="1" t="s">
        <v>14</v>
      </c>
      <c r="G41" s="1" t="s">
        <v>47</v>
      </c>
      <c r="H41" s="1" t="s">
        <v>22</v>
      </c>
      <c r="I41" s="1" t="s">
        <v>63</v>
      </c>
      <c r="J41" s="1" t="s">
        <v>59</v>
      </c>
    </row>
    <row r="42" spans="1:10" x14ac:dyDescent="0.25">
      <c r="A42" s="1">
        <v>41</v>
      </c>
      <c r="B42" s="1" t="s">
        <v>136</v>
      </c>
      <c r="C42" s="1" t="s">
        <v>10</v>
      </c>
      <c r="D42" s="1" t="s">
        <v>43</v>
      </c>
      <c r="E42" s="1" t="s">
        <v>55</v>
      </c>
      <c r="F42" s="1" t="s">
        <v>14</v>
      </c>
      <c r="G42" s="1" t="s">
        <v>47</v>
      </c>
      <c r="H42" s="1" t="s">
        <v>22</v>
      </c>
      <c r="I42" s="1" t="s">
        <v>63</v>
      </c>
      <c r="J42" s="1" t="s">
        <v>18</v>
      </c>
    </row>
    <row r="43" spans="1:10" x14ac:dyDescent="0.25">
      <c r="A43" s="1">
        <v>42</v>
      </c>
      <c r="B43" s="1" t="s">
        <v>137</v>
      </c>
      <c r="C43" s="1" t="s">
        <v>10</v>
      </c>
      <c r="D43" s="1" t="s">
        <v>43</v>
      </c>
      <c r="E43" s="1" t="s">
        <v>55</v>
      </c>
      <c r="F43" s="1" t="s">
        <v>14</v>
      </c>
      <c r="G43" s="1" t="s">
        <v>47</v>
      </c>
      <c r="H43" s="1" t="s">
        <v>22</v>
      </c>
      <c r="I43" s="1" t="s">
        <v>18</v>
      </c>
      <c r="J43" s="1" t="s">
        <v>59</v>
      </c>
    </row>
    <row r="44" spans="1:10" x14ac:dyDescent="0.25">
      <c r="A44" s="1">
        <v>43</v>
      </c>
      <c r="B44" s="1" t="s">
        <v>138</v>
      </c>
      <c r="C44" s="1" t="s">
        <v>10</v>
      </c>
      <c r="D44" s="1" t="s">
        <v>43</v>
      </c>
      <c r="E44" s="1" t="s">
        <v>18</v>
      </c>
      <c r="F44" s="1" t="s">
        <v>14</v>
      </c>
      <c r="G44" s="1" t="s">
        <v>47</v>
      </c>
      <c r="H44" s="1" t="s">
        <v>22</v>
      </c>
      <c r="I44" s="1" t="s">
        <v>63</v>
      </c>
      <c r="J44" s="1" t="s">
        <v>51</v>
      </c>
    </row>
    <row r="45" spans="1:10" x14ac:dyDescent="0.25">
      <c r="A45" s="1">
        <v>44</v>
      </c>
      <c r="B45" s="1" t="s">
        <v>139</v>
      </c>
      <c r="C45" s="1" t="s">
        <v>10</v>
      </c>
      <c r="D45" s="1" t="s">
        <v>43</v>
      </c>
      <c r="E45" s="1" t="s">
        <v>18</v>
      </c>
      <c r="F45" s="1" t="s">
        <v>14</v>
      </c>
      <c r="G45" s="1" t="s">
        <v>47</v>
      </c>
      <c r="H45" s="1" t="s">
        <v>22</v>
      </c>
      <c r="I45" s="1" t="s">
        <v>51</v>
      </c>
      <c r="J45" s="1" t="s">
        <v>59</v>
      </c>
    </row>
    <row r="46" spans="1:10" x14ac:dyDescent="0.25">
      <c r="A46" s="1">
        <v>45</v>
      </c>
      <c r="B46" s="1" t="s">
        <v>140</v>
      </c>
      <c r="C46" s="1" t="s">
        <v>10</v>
      </c>
      <c r="D46" s="1" t="s">
        <v>43</v>
      </c>
      <c r="E46" s="1" t="s">
        <v>55</v>
      </c>
      <c r="F46" s="1" t="s">
        <v>14</v>
      </c>
      <c r="G46" s="1" t="s">
        <v>47</v>
      </c>
      <c r="H46" s="1" t="s">
        <v>22</v>
      </c>
      <c r="I46" s="1" t="s">
        <v>18</v>
      </c>
      <c r="J46" s="1" t="s">
        <v>51</v>
      </c>
    </row>
    <row r="47" spans="1:10" x14ac:dyDescent="0.25">
      <c r="A47" s="1">
        <v>46</v>
      </c>
      <c r="B47" s="1" t="s">
        <v>141</v>
      </c>
      <c r="C47" s="1" t="s">
        <v>47</v>
      </c>
      <c r="D47" s="1" t="s">
        <v>55</v>
      </c>
      <c r="E47" s="1" t="s">
        <v>6</v>
      </c>
      <c r="F47" s="1" t="s">
        <v>22</v>
      </c>
      <c r="G47" s="1" t="s">
        <v>51</v>
      </c>
      <c r="H47" s="1" t="s">
        <v>43</v>
      </c>
      <c r="I47" s="1" t="s">
        <v>63</v>
      </c>
      <c r="J47" s="1" t="s">
        <v>59</v>
      </c>
    </row>
    <row r="48" spans="1:10" x14ac:dyDescent="0.25">
      <c r="A48" s="1">
        <v>47</v>
      </c>
      <c r="B48" s="1" t="s">
        <v>142</v>
      </c>
      <c r="C48" s="1" t="s">
        <v>18</v>
      </c>
      <c r="D48" s="1" t="s">
        <v>55</v>
      </c>
      <c r="E48" s="1" t="s">
        <v>51</v>
      </c>
      <c r="F48" s="1" t="s">
        <v>6</v>
      </c>
      <c r="G48" s="1" t="s">
        <v>47</v>
      </c>
      <c r="H48" s="1" t="s">
        <v>43</v>
      </c>
      <c r="I48" s="1" t="s">
        <v>63</v>
      </c>
      <c r="J48" s="1" t="s">
        <v>59</v>
      </c>
    </row>
    <row r="49" spans="1:10" x14ac:dyDescent="0.25">
      <c r="A49" s="1">
        <v>48</v>
      </c>
      <c r="B49" s="1" t="s">
        <v>143</v>
      </c>
      <c r="C49" s="1" t="s">
        <v>18</v>
      </c>
      <c r="D49" s="1" t="s">
        <v>55</v>
      </c>
      <c r="E49" s="1" t="s">
        <v>6</v>
      </c>
      <c r="F49" s="1" t="s">
        <v>22</v>
      </c>
      <c r="G49" s="1" t="s">
        <v>51</v>
      </c>
      <c r="H49" s="1" t="s">
        <v>47</v>
      </c>
      <c r="I49" s="1" t="s">
        <v>63</v>
      </c>
      <c r="J49" s="1" t="s">
        <v>59</v>
      </c>
    </row>
    <row r="50" spans="1:10" x14ac:dyDescent="0.25">
      <c r="A50" s="1">
        <v>49</v>
      </c>
      <c r="B50" s="1" t="s">
        <v>144</v>
      </c>
      <c r="C50" s="1" t="s">
        <v>18</v>
      </c>
      <c r="D50" s="1" t="s">
        <v>55</v>
      </c>
      <c r="E50" s="1" t="s">
        <v>6</v>
      </c>
      <c r="F50" s="1" t="s">
        <v>22</v>
      </c>
      <c r="G50" s="1" t="s">
        <v>51</v>
      </c>
      <c r="H50" s="1" t="s">
        <v>43</v>
      </c>
      <c r="I50" s="1" t="s">
        <v>63</v>
      </c>
      <c r="J50" s="1" t="s">
        <v>59</v>
      </c>
    </row>
    <row r="51" spans="1:10" x14ac:dyDescent="0.25">
      <c r="A51" s="1">
        <v>50</v>
      </c>
      <c r="B51" s="1" t="s">
        <v>145</v>
      </c>
      <c r="C51" s="1" t="s">
        <v>18</v>
      </c>
      <c r="D51" s="1" t="s">
        <v>55</v>
      </c>
      <c r="E51" s="1" t="s">
        <v>6</v>
      </c>
      <c r="F51" s="1" t="s">
        <v>22</v>
      </c>
      <c r="G51" s="1" t="s">
        <v>47</v>
      </c>
      <c r="H51" s="1" t="s">
        <v>43</v>
      </c>
      <c r="I51" s="1" t="s">
        <v>63</v>
      </c>
      <c r="J51" s="1" t="s">
        <v>59</v>
      </c>
    </row>
    <row r="52" spans="1:10" x14ac:dyDescent="0.25">
      <c r="A52" s="1">
        <v>51</v>
      </c>
      <c r="B52" s="1" t="s">
        <v>146</v>
      </c>
      <c r="C52" s="1" t="s">
        <v>18</v>
      </c>
      <c r="D52" s="1" t="s">
        <v>43</v>
      </c>
      <c r="E52" s="1" t="s">
        <v>6</v>
      </c>
      <c r="F52" s="1" t="s">
        <v>22</v>
      </c>
      <c r="G52" s="1" t="s">
        <v>51</v>
      </c>
      <c r="H52" s="1" t="s">
        <v>47</v>
      </c>
      <c r="I52" s="1" t="s">
        <v>63</v>
      </c>
      <c r="J52" s="1" t="s">
        <v>59</v>
      </c>
    </row>
    <row r="53" spans="1:10" x14ac:dyDescent="0.25">
      <c r="A53" s="1">
        <v>52</v>
      </c>
      <c r="B53" s="1" t="s">
        <v>147</v>
      </c>
      <c r="C53" s="1" t="s">
        <v>18</v>
      </c>
      <c r="D53" s="1" t="s">
        <v>55</v>
      </c>
      <c r="E53" s="1" t="s">
        <v>6</v>
      </c>
      <c r="F53" s="1" t="s">
        <v>22</v>
      </c>
      <c r="G53" s="1" t="s">
        <v>47</v>
      </c>
      <c r="H53" s="1" t="s">
        <v>43</v>
      </c>
      <c r="I53" s="1" t="s">
        <v>63</v>
      </c>
      <c r="J53" s="1" t="s">
        <v>51</v>
      </c>
    </row>
    <row r="54" spans="1:10" x14ac:dyDescent="0.25">
      <c r="A54" s="1">
        <v>53</v>
      </c>
      <c r="B54" s="1" t="s">
        <v>148</v>
      </c>
      <c r="C54" s="1" t="s">
        <v>18</v>
      </c>
      <c r="D54" s="1" t="s">
        <v>55</v>
      </c>
      <c r="E54" s="1" t="s">
        <v>6</v>
      </c>
      <c r="F54" s="1" t="s">
        <v>22</v>
      </c>
      <c r="G54" s="1" t="s">
        <v>47</v>
      </c>
      <c r="H54" s="1" t="s">
        <v>43</v>
      </c>
      <c r="I54" s="1" t="s">
        <v>51</v>
      </c>
      <c r="J54" s="1" t="s">
        <v>59</v>
      </c>
    </row>
    <row r="55" spans="1:10" x14ac:dyDescent="0.25">
      <c r="A55" s="1">
        <v>54</v>
      </c>
      <c r="B55" s="1" t="s">
        <v>149</v>
      </c>
      <c r="C55" s="1" t="s">
        <v>47</v>
      </c>
      <c r="D55" s="1" t="s">
        <v>55</v>
      </c>
      <c r="E55" s="1" t="s">
        <v>6</v>
      </c>
      <c r="F55" s="1" t="s">
        <v>14</v>
      </c>
      <c r="G55" s="1" t="s">
        <v>51</v>
      </c>
      <c r="H55" s="1" t="s">
        <v>43</v>
      </c>
      <c r="I55" s="1" t="s">
        <v>63</v>
      </c>
      <c r="J55" s="1" t="s">
        <v>59</v>
      </c>
    </row>
    <row r="56" spans="1:10" x14ac:dyDescent="0.25">
      <c r="A56" s="1">
        <v>55</v>
      </c>
      <c r="B56" s="1" t="s">
        <v>150</v>
      </c>
      <c r="C56" s="1" t="s">
        <v>47</v>
      </c>
      <c r="D56" s="1" t="s">
        <v>55</v>
      </c>
      <c r="E56" s="1" t="s">
        <v>6</v>
      </c>
      <c r="F56" s="1" t="s">
        <v>14</v>
      </c>
      <c r="G56" s="1" t="s">
        <v>51</v>
      </c>
      <c r="H56" s="1" t="s">
        <v>22</v>
      </c>
      <c r="I56" s="1" t="s">
        <v>63</v>
      </c>
      <c r="J56" s="1" t="s">
        <v>59</v>
      </c>
    </row>
    <row r="57" spans="1:10" x14ac:dyDescent="0.25">
      <c r="A57" s="1">
        <v>56</v>
      </c>
      <c r="B57" s="1" t="s">
        <v>151</v>
      </c>
      <c r="C57" s="1" t="s">
        <v>51</v>
      </c>
      <c r="D57" s="1" t="s">
        <v>43</v>
      </c>
      <c r="E57" s="1" t="s">
        <v>6</v>
      </c>
      <c r="F57" s="1" t="s">
        <v>14</v>
      </c>
      <c r="G57" s="1" t="s">
        <v>55</v>
      </c>
      <c r="H57" s="1" t="s">
        <v>22</v>
      </c>
      <c r="I57" s="1" t="s">
        <v>63</v>
      </c>
      <c r="J57" s="1" t="s">
        <v>59</v>
      </c>
    </row>
    <row r="58" spans="1:10" x14ac:dyDescent="0.25">
      <c r="A58" s="1">
        <v>57</v>
      </c>
      <c r="B58" s="1" t="s">
        <v>152</v>
      </c>
      <c r="C58" s="1" t="s">
        <v>47</v>
      </c>
      <c r="D58" s="1" t="s">
        <v>43</v>
      </c>
      <c r="E58" s="1" t="s">
        <v>6</v>
      </c>
      <c r="F58" s="1" t="s">
        <v>14</v>
      </c>
      <c r="G58" s="1" t="s">
        <v>55</v>
      </c>
      <c r="H58" s="1" t="s">
        <v>22</v>
      </c>
      <c r="I58" s="1" t="s">
        <v>63</v>
      </c>
      <c r="J58" s="1" t="s">
        <v>59</v>
      </c>
    </row>
    <row r="59" spans="1:10" x14ac:dyDescent="0.25">
      <c r="A59" s="1">
        <v>58</v>
      </c>
      <c r="B59" s="1" t="s">
        <v>153</v>
      </c>
      <c r="C59" s="1" t="s">
        <v>47</v>
      </c>
      <c r="D59" s="1" t="s">
        <v>43</v>
      </c>
      <c r="E59" s="1" t="s">
        <v>6</v>
      </c>
      <c r="F59" s="1" t="s">
        <v>14</v>
      </c>
      <c r="G59" s="1" t="s">
        <v>51</v>
      </c>
      <c r="H59" s="1" t="s">
        <v>22</v>
      </c>
      <c r="I59" s="1" t="s">
        <v>63</v>
      </c>
      <c r="J59" s="1" t="s">
        <v>59</v>
      </c>
    </row>
    <row r="60" spans="1:10" x14ac:dyDescent="0.25">
      <c r="A60" s="1">
        <v>59</v>
      </c>
      <c r="B60" s="1" t="s">
        <v>154</v>
      </c>
      <c r="C60" s="1" t="s">
        <v>47</v>
      </c>
      <c r="D60" s="1" t="s">
        <v>43</v>
      </c>
      <c r="E60" s="1" t="s">
        <v>6</v>
      </c>
      <c r="F60" s="1" t="s">
        <v>14</v>
      </c>
      <c r="G60" s="1" t="s">
        <v>55</v>
      </c>
      <c r="H60" s="1" t="s">
        <v>22</v>
      </c>
      <c r="I60" s="1" t="s">
        <v>63</v>
      </c>
      <c r="J60" s="1" t="s">
        <v>51</v>
      </c>
    </row>
    <row r="61" spans="1:10" x14ac:dyDescent="0.25">
      <c r="A61" s="1">
        <v>60</v>
      </c>
      <c r="B61" s="1" t="s">
        <v>155</v>
      </c>
      <c r="C61" s="1" t="s">
        <v>47</v>
      </c>
      <c r="D61" s="1" t="s">
        <v>43</v>
      </c>
      <c r="E61" s="1" t="s">
        <v>6</v>
      </c>
      <c r="F61" s="1" t="s">
        <v>14</v>
      </c>
      <c r="G61" s="1" t="s">
        <v>55</v>
      </c>
      <c r="H61" s="1" t="s">
        <v>22</v>
      </c>
      <c r="I61" s="1" t="s">
        <v>51</v>
      </c>
      <c r="J61" s="1" t="s">
        <v>59</v>
      </c>
    </row>
    <row r="62" spans="1:10" x14ac:dyDescent="0.25">
      <c r="A62" s="1">
        <v>61</v>
      </c>
      <c r="B62" s="1" t="s">
        <v>156</v>
      </c>
      <c r="C62" s="1" t="s">
        <v>18</v>
      </c>
      <c r="D62" s="1" t="s">
        <v>55</v>
      </c>
      <c r="E62" s="1" t="s">
        <v>6</v>
      </c>
      <c r="F62" s="1" t="s">
        <v>14</v>
      </c>
      <c r="G62" s="1" t="s">
        <v>51</v>
      </c>
      <c r="H62" s="1" t="s">
        <v>47</v>
      </c>
      <c r="I62" s="1" t="s">
        <v>63</v>
      </c>
      <c r="J62" s="1" t="s">
        <v>59</v>
      </c>
    </row>
    <row r="63" spans="1:10" x14ac:dyDescent="0.25">
      <c r="A63" s="1">
        <v>62</v>
      </c>
      <c r="B63" s="1" t="s">
        <v>157</v>
      </c>
      <c r="C63" s="1" t="s">
        <v>18</v>
      </c>
      <c r="D63" s="1" t="s">
        <v>55</v>
      </c>
      <c r="E63" s="1" t="s">
        <v>6</v>
      </c>
      <c r="F63" s="1" t="s">
        <v>14</v>
      </c>
      <c r="G63" s="1" t="s">
        <v>51</v>
      </c>
      <c r="H63" s="1" t="s">
        <v>43</v>
      </c>
      <c r="I63" s="1" t="s">
        <v>63</v>
      </c>
      <c r="J63" s="1" t="s">
        <v>59</v>
      </c>
    </row>
    <row r="64" spans="1:10" x14ac:dyDescent="0.25">
      <c r="A64" s="1">
        <v>63</v>
      </c>
      <c r="B64" s="1" t="s">
        <v>158</v>
      </c>
      <c r="C64" s="1" t="s">
        <v>18</v>
      </c>
      <c r="D64" s="1" t="s">
        <v>55</v>
      </c>
      <c r="E64" s="1" t="s">
        <v>6</v>
      </c>
      <c r="F64" s="1" t="s">
        <v>14</v>
      </c>
      <c r="G64" s="1" t="s">
        <v>47</v>
      </c>
      <c r="H64" s="1" t="s">
        <v>43</v>
      </c>
      <c r="I64" s="1" t="s">
        <v>63</v>
      </c>
      <c r="J64" s="1" t="s">
        <v>59</v>
      </c>
    </row>
    <row r="65" spans="1:10" x14ac:dyDescent="0.25">
      <c r="A65" s="1">
        <v>64</v>
      </c>
      <c r="B65" s="1" t="s">
        <v>159</v>
      </c>
      <c r="C65" s="1" t="s">
        <v>18</v>
      </c>
      <c r="D65" s="1" t="s">
        <v>43</v>
      </c>
      <c r="E65" s="1" t="s">
        <v>6</v>
      </c>
      <c r="F65" s="1" t="s">
        <v>14</v>
      </c>
      <c r="G65" s="1" t="s">
        <v>51</v>
      </c>
      <c r="H65" s="1" t="s">
        <v>47</v>
      </c>
      <c r="I65" s="1" t="s">
        <v>63</v>
      </c>
      <c r="J65" s="1" t="s">
        <v>59</v>
      </c>
    </row>
    <row r="66" spans="1:10" x14ac:dyDescent="0.25">
      <c r="A66" s="1">
        <v>65</v>
      </c>
      <c r="B66" s="1" t="s">
        <v>160</v>
      </c>
      <c r="C66" s="1" t="s">
        <v>18</v>
      </c>
      <c r="D66" s="1" t="s">
        <v>55</v>
      </c>
      <c r="E66" s="1" t="s">
        <v>6</v>
      </c>
      <c r="F66" s="1" t="s">
        <v>14</v>
      </c>
      <c r="G66" s="1" t="s">
        <v>47</v>
      </c>
      <c r="H66" s="1" t="s">
        <v>43</v>
      </c>
      <c r="I66" s="1" t="s">
        <v>63</v>
      </c>
      <c r="J66" s="1" t="s">
        <v>51</v>
      </c>
    </row>
    <row r="67" spans="1:10" x14ac:dyDescent="0.25">
      <c r="A67" s="1">
        <v>66</v>
      </c>
      <c r="B67" s="1" t="s">
        <v>161</v>
      </c>
      <c r="C67" s="1" t="s">
        <v>18</v>
      </c>
      <c r="D67" s="1" t="s">
        <v>55</v>
      </c>
      <c r="E67" s="1" t="s">
        <v>6</v>
      </c>
      <c r="F67" s="1" t="s">
        <v>14</v>
      </c>
      <c r="G67" s="1" t="s">
        <v>47</v>
      </c>
      <c r="H67" s="1" t="s">
        <v>43</v>
      </c>
      <c r="I67" s="1" t="s">
        <v>51</v>
      </c>
      <c r="J67" s="1" t="s">
        <v>59</v>
      </c>
    </row>
    <row r="68" spans="1:10" x14ac:dyDescent="0.25">
      <c r="A68" s="1">
        <v>67</v>
      </c>
      <c r="B68" s="1" t="s">
        <v>162</v>
      </c>
      <c r="C68" s="1" t="s">
        <v>18</v>
      </c>
      <c r="D68" s="1" t="s">
        <v>55</v>
      </c>
      <c r="E68" s="1" t="s">
        <v>6</v>
      </c>
      <c r="F68" s="1" t="s">
        <v>14</v>
      </c>
      <c r="G68" s="1" t="s">
        <v>51</v>
      </c>
      <c r="H68" s="1" t="s">
        <v>22</v>
      </c>
      <c r="I68" s="1" t="s">
        <v>63</v>
      </c>
      <c r="J68" s="1" t="s">
        <v>59</v>
      </c>
    </row>
    <row r="69" spans="1:10" x14ac:dyDescent="0.25">
      <c r="A69" s="1">
        <v>68</v>
      </c>
      <c r="B69" s="1" t="s">
        <v>163</v>
      </c>
      <c r="C69" s="1" t="s">
        <v>18</v>
      </c>
      <c r="D69" s="1" t="s">
        <v>55</v>
      </c>
      <c r="E69" s="1" t="s">
        <v>6</v>
      </c>
      <c r="F69" s="1" t="s">
        <v>14</v>
      </c>
      <c r="G69" s="1" t="s">
        <v>47</v>
      </c>
      <c r="H69" s="1" t="s">
        <v>22</v>
      </c>
      <c r="I69" s="1" t="s">
        <v>63</v>
      </c>
      <c r="J69" s="1" t="s">
        <v>59</v>
      </c>
    </row>
    <row r="70" spans="1:10" x14ac:dyDescent="0.25">
      <c r="A70" s="1">
        <v>69</v>
      </c>
      <c r="B70" s="1" t="s">
        <v>164</v>
      </c>
      <c r="C70" s="1" t="s">
        <v>18</v>
      </c>
      <c r="D70" s="1" t="s">
        <v>51</v>
      </c>
      <c r="E70" s="1" t="s">
        <v>6</v>
      </c>
      <c r="F70" s="1" t="s">
        <v>14</v>
      </c>
      <c r="G70" s="1" t="s">
        <v>47</v>
      </c>
      <c r="H70" s="1" t="s">
        <v>22</v>
      </c>
      <c r="I70" s="1" t="s">
        <v>63</v>
      </c>
      <c r="J70" s="1" t="s">
        <v>59</v>
      </c>
    </row>
    <row r="71" spans="1:10" x14ac:dyDescent="0.25">
      <c r="A71" s="1">
        <v>70</v>
      </c>
      <c r="B71" s="1" t="s">
        <v>165</v>
      </c>
      <c r="C71" s="1" t="s">
        <v>18</v>
      </c>
      <c r="D71" s="1" t="s">
        <v>55</v>
      </c>
      <c r="E71" s="1" t="s">
        <v>6</v>
      </c>
      <c r="F71" s="1" t="s">
        <v>14</v>
      </c>
      <c r="G71" s="1" t="s">
        <v>47</v>
      </c>
      <c r="H71" s="1" t="s">
        <v>22</v>
      </c>
      <c r="I71" s="1" t="s">
        <v>63</v>
      </c>
      <c r="J71" s="1" t="s">
        <v>51</v>
      </c>
    </row>
    <row r="72" spans="1:10" x14ac:dyDescent="0.25">
      <c r="A72" s="1">
        <v>71</v>
      </c>
      <c r="B72" s="1" t="s">
        <v>166</v>
      </c>
      <c r="C72" s="1" t="s">
        <v>18</v>
      </c>
      <c r="D72" s="1" t="s">
        <v>55</v>
      </c>
      <c r="E72" s="1" t="s">
        <v>6</v>
      </c>
      <c r="F72" s="1" t="s">
        <v>14</v>
      </c>
      <c r="G72" s="1" t="s">
        <v>47</v>
      </c>
      <c r="H72" s="1" t="s">
        <v>22</v>
      </c>
      <c r="I72" s="1" t="s">
        <v>51</v>
      </c>
      <c r="J72" s="1" t="s">
        <v>59</v>
      </c>
    </row>
    <row r="73" spans="1:10" x14ac:dyDescent="0.25">
      <c r="A73" s="1">
        <v>72</v>
      </c>
      <c r="B73" s="1" t="s">
        <v>167</v>
      </c>
      <c r="C73" s="1" t="s">
        <v>18</v>
      </c>
      <c r="D73" s="1" t="s">
        <v>43</v>
      </c>
      <c r="E73" s="1" t="s">
        <v>6</v>
      </c>
      <c r="F73" s="1" t="s">
        <v>14</v>
      </c>
      <c r="G73" s="1" t="s">
        <v>55</v>
      </c>
      <c r="H73" s="1" t="s">
        <v>22</v>
      </c>
      <c r="I73" s="1" t="s">
        <v>63</v>
      </c>
      <c r="J73" s="1" t="s">
        <v>59</v>
      </c>
    </row>
    <row r="74" spans="1:10" x14ac:dyDescent="0.25">
      <c r="A74" s="1">
        <v>73</v>
      </c>
      <c r="B74" s="1" t="s">
        <v>168</v>
      </c>
      <c r="C74" s="1" t="s">
        <v>18</v>
      </c>
      <c r="D74" s="1" t="s">
        <v>43</v>
      </c>
      <c r="E74" s="1" t="s">
        <v>6</v>
      </c>
      <c r="F74" s="1" t="s">
        <v>14</v>
      </c>
      <c r="G74" s="1" t="s">
        <v>51</v>
      </c>
      <c r="H74" s="1" t="s">
        <v>22</v>
      </c>
      <c r="I74" s="1" t="s">
        <v>63</v>
      </c>
      <c r="J74" s="1" t="s">
        <v>59</v>
      </c>
    </row>
    <row r="75" spans="1:10" x14ac:dyDescent="0.25">
      <c r="A75" s="1">
        <v>74</v>
      </c>
      <c r="B75" s="1" t="s">
        <v>169</v>
      </c>
      <c r="C75" s="1" t="s">
        <v>18</v>
      </c>
      <c r="D75" s="1" t="s">
        <v>43</v>
      </c>
      <c r="E75" s="1" t="s">
        <v>6</v>
      </c>
      <c r="F75" s="1" t="s">
        <v>14</v>
      </c>
      <c r="G75" s="1" t="s">
        <v>55</v>
      </c>
      <c r="H75" s="1" t="s">
        <v>22</v>
      </c>
      <c r="I75" s="1" t="s">
        <v>63</v>
      </c>
      <c r="J75" s="1" t="s">
        <v>51</v>
      </c>
    </row>
    <row r="76" spans="1:10" x14ac:dyDescent="0.25">
      <c r="A76" s="1">
        <v>75</v>
      </c>
      <c r="B76" s="1" t="s">
        <v>170</v>
      </c>
      <c r="C76" s="1" t="s">
        <v>18</v>
      </c>
      <c r="D76" s="1" t="s">
        <v>43</v>
      </c>
      <c r="E76" s="1" t="s">
        <v>6</v>
      </c>
      <c r="F76" s="1" t="s">
        <v>14</v>
      </c>
      <c r="G76" s="1" t="s">
        <v>55</v>
      </c>
      <c r="H76" s="1" t="s">
        <v>22</v>
      </c>
      <c r="I76" s="1" t="s">
        <v>51</v>
      </c>
      <c r="J76" s="1" t="s">
        <v>59</v>
      </c>
    </row>
    <row r="77" spans="1:10" x14ac:dyDescent="0.25">
      <c r="A77" s="1">
        <v>76</v>
      </c>
      <c r="B77" s="1" t="s">
        <v>171</v>
      </c>
      <c r="C77" s="1" t="s">
        <v>18</v>
      </c>
      <c r="D77" s="1" t="s">
        <v>43</v>
      </c>
      <c r="E77" s="1" t="s">
        <v>6</v>
      </c>
      <c r="F77" s="1" t="s">
        <v>14</v>
      </c>
      <c r="G77" s="1" t="s">
        <v>47</v>
      </c>
      <c r="H77" s="1" t="s">
        <v>22</v>
      </c>
      <c r="I77" s="1" t="s">
        <v>63</v>
      </c>
      <c r="J77" s="1" t="s">
        <v>59</v>
      </c>
    </row>
    <row r="78" spans="1:10" x14ac:dyDescent="0.25">
      <c r="A78" s="1">
        <v>77</v>
      </c>
      <c r="B78" s="1" t="s">
        <v>172</v>
      </c>
      <c r="C78" s="1" t="s">
        <v>47</v>
      </c>
      <c r="D78" s="1" t="s">
        <v>43</v>
      </c>
      <c r="E78" s="1" t="s">
        <v>6</v>
      </c>
      <c r="F78" s="1" t="s">
        <v>14</v>
      </c>
      <c r="G78" s="1" t="s">
        <v>55</v>
      </c>
      <c r="H78" s="1" t="s">
        <v>22</v>
      </c>
      <c r="I78" s="1" t="s">
        <v>63</v>
      </c>
      <c r="J78" s="1" t="s">
        <v>18</v>
      </c>
    </row>
    <row r="79" spans="1:10" x14ac:dyDescent="0.25">
      <c r="A79" s="1">
        <v>78</v>
      </c>
      <c r="B79" s="1" t="s">
        <v>173</v>
      </c>
      <c r="C79" s="1" t="s">
        <v>47</v>
      </c>
      <c r="D79" s="1" t="s">
        <v>43</v>
      </c>
      <c r="E79" s="1" t="s">
        <v>6</v>
      </c>
      <c r="F79" s="1" t="s">
        <v>14</v>
      </c>
      <c r="G79" s="1" t="s">
        <v>55</v>
      </c>
      <c r="H79" s="1" t="s">
        <v>22</v>
      </c>
      <c r="I79" s="1" t="s">
        <v>18</v>
      </c>
      <c r="J79" s="1" t="s">
        <v>59</v>
      </c>
    </row>
    <row r="80" spans="1:10" x14ac:dyDescent="0.25">
      <c r="A80" s="1">
        <v>79</v>
      </c>
      <c r="B80" s="1" t="s">
        <v>174</v>
      </c>
      <c r="C80" s="1" t="s">
        <v>18</v>
      </c>
      <c r="D80" s="1" t="s">
        <v>43</v>
      </c>
      <c r="E80" s="1" t="s">
        <v>6</v>
      </c>
      <c r="F80" s="1" t="s">
        <v>14</v>
      </c>
      <c r="G80" s="1" t="s">
        <v>47</v>
      </c>
      <c r="H80" s="1" t="s">
        <v>22</v>
      </c>
      <c r="I80" s="1" t="s">
        <v>63</v>
      </c>
      <c r="J80" s="1" t="s">
        <v>51</v>
      </c>
    </row>
    <row r="81" spans="1:10" x14ac:dyDescent="0.25">
      <c r="A81" s="1">
        <v>80</v>
      </c>
      <c r="B81" s="1" t="s">
        <v>175</v>
      </c>
      <c r="C81" s="1" t="s">
        <v>18</v>
      </c>
      <c r="D81" s="1" t="s">
        <v>43</v>
      </c>
      <c r="E81" s="1" t="s">
        <v>6</v>
      </c>
      <c r="F81" s="1" t="s">
        <v>14</v>
      </c>
      <c r="G81" s="1" t="s">
        <v>47</v>
      </c>
      <c r="H81" s="1" t="s">
        <v>22</v>
      </c>
      <c r="I81" s="1" t="s">
        <v>51</v>
      </c>
      <c r="J81" s="1" t="s">
        <v>59</v>
      </c>
    </row>
    <row r="82" spans="1:10" x14ac:dyDescent="0.25">
      <c r="A82" s="1">
        <v>81</v>
      </c>
      <c r="B82" s="1" t="s">
        <v>176</v>
      </c>
      <c r="C82" s="1" t="s">
        <v>47</v>
      </c>
      <c r="D82" s="1" t="s">
        <v>43</v>
      </c>
      <c r="E82" s="1" t="s">
        <v>6</v>
      </c>
      <c r="F82" s="1" t="s">
        <v>14</v>
      </c>
      <c r="G82" s="1" t="s">
        <v>55</v>
      </c>
      <c r="H82" s="1" t="s">
        <v>22</v>
      </c>
      <c r="I82" s="1" t="s">
        <v>18</v>
      </c>
      <c r="J82" s="1" t="s">
        <v>51</v>
      </c>
    </row>
    <row r="83" spans="1:10" x14ac:dyDescent="0.25">
      <c r="A83" s="1">
        <v>82</v>
      </c>
      <c r="B83" s="1" t="s">
        <v>177</v>
      </c>
      <c r="C83" s="1" t="s">
        <v>47</v>
      </c>
      <c r="D83" s="1" t="s">
        <v>55</v>
      </c>
      <c r="E83" s="1" t="s">
        <v>6</v>
      </c>
      <c r="F83" s="1" t="s">
        <v>10</v>
      </c>
      <c r="G83" s="1" t="s">
        <v>51</v>
      </c>
      <c r="H83" s="1" t="s">
        <v>43</v>
      </c>
      <c r="I83" s="1" t="s">
        <v>63</v>
      </c>
      <c r="J83" s="1" t="s">
        <v>59</v>
      </c>
    </row>
    <row r="84" spans="1:10" x14ac:dyDescent="0.25">
      <c r="A84" s="1">
        <v>83</v>
      </c>
      <c r="B84" s="1" t="s">
        <v>178</v>
      </c>
      <c r="C84" s="1" t="s">
        <v>47</v>
      </c>
      <c r="D84" s="1" t="s">
        <v>55</v>
      </c>
      <c r="E84" s="1" t="s">
        <v>6</v>
      </c>
      <c r="F84" s="1" t="s">
        <v>10</v>
      </c>
      <c r="G84" s="1" t="s">
        <v>51</v>
      </c>
      <c r="H84" s="1" t="s">
        <v>22</v>
      </c>
      <c r="I84" s="1" t="s">
        <v>63</v>
      </c>
      <c r="J84" s="1" t="s">
        <v>59</v>
      </c>
    </row>
    <row r="85" spans="1:10" x14ac:dyDescent="0.25">
      <c r="A85" s="1">
        <v>84</v>
      </c>
      <c r="B85" s="1" t="s">
        <v>179</v>
      </c>
      <c r="C85" s="1" t="s">
        <v>51</v>
      </c>
      <c r="D85" s="1" t="s">
        <v>43</v>
      </c>
      <c r="E85" s="1" t="s">
        <v>6</v>
      </c>
      <c r="F85" s="1" t="s">
        <v>10</v>
      </c>
      <c r="G85" s="1" t="s">
        <v>55</v>
      </c>
      <c r="H85" s="1" t="s">
        <v>22</v>
      </c>
      <c r="I85" s="1" t="s">
        <v>63</v>
      </c>
      <c r="J85" s="1" t="s">
        <v>59</v>
      </c>
    </row>
    <row r="86" spans="1:10" x14ac:dyDescent="0.25">
      <c r="A86" s="1">
        <v>85</v>
      </c>
      <c r="B86" s="1" t="s">
        <v>180</v>
      </c>
      <c r="C86" s="1" t="s">
        <v>47</v>
      </c>
      <c r="D86" s="1" t="s">
        <v>43</v>
      </c>
      <c r="E86" s="1" t="s">
        <v>6</v>
      </c>
      <c r="F86" s="1" t="s">
        <v>10</v>
      </c>
      <c r="G86" s="1" t="s">
        <v>55</v>
      </c>
      <c r="H86" s="1" t="s">
        <v>22</v>
      </c>
      <c r="I86" s="1" t="s">
        <v>63</v>
      </c>
      <c r="J86" s="1" t="s">
        <v>59</v>
      </c>
    </row>
    <row r="87" spans="1:10" x14ac:dyDescent="0.25">
      <c r="A87" s="1">
        <v>86</v>
      </c>
      <c r="B87" s="1" t="s">
        <v>181</v>
      </c>
      <c r="C87" s="1" t="s">
        <v>47</v>
      </c>
      <c r="D87" s="1" t="s">
        <v>43</v>
      </c>
      <c r="E87" s="1" t="s">
        <v>6</v>
      </c>
      <c r="F87" s="1" t="s">
        <v>10</v>
      </c>
      <c r="G87" s="1" t="s">
        <v>51</v>
      </c>
      <c r="H87" s="1" t="s">
        <v>22</v>
      </c>
      <c r="I87" s="1" t="s">
        <v>63</v>
      </c>
      <c r="J87" s="1" t="s">
        <v>59</v>
      </c>
    </row>
    <row r="88" spans="1:10" x14ac:dyDescent="0.25">
      <c r="A88" s="1">
        <v>87</v>
      </c>
      <c r="B88" s="1" t="s">
        <v>182</v>
      </c>
      <c r="C88" s="1" t="s">
        <v>47</v>
      </c>
      <c r="D88" s="1" t="s">
        <v>43</v>
      </c>
      <c r="E88" s="1" t="s">
        <v>6</v>
      </c>
      <c r="F88" s="1" t="s">
        <v>10</v>
      </c>
      <c r="G88" s="1" t="s">
        <v>55</v>
      </c>
      <c r="H88" s="1" t="s">
        <v>22</v>
      </c>
      <c r="I88" s="1" t="s">
        <v>63</v>
      </c>
      <c r="J88" s="1" t="s">
        <v>51</v>
      </c>
    </row>
    <row r="89" spans="1:10" x14ac:dyDescent="0.25">
      <c r="A89" s="1">
        <v>88</v>
      </c>
      <c r="B89" s="1" t="s">
        <v>183</v>
      </c>
      <c r="C89" s="1" t="s">
        <v>47</v>
      </c>
      <c r="D89" s="1" t="s">
        <v>43</v>
      </c>
      <c r="E89" s="1" t="s">
        <v>6</v>
      </c>
      <c r="F89" s="1" t="s">
        <v>10</v>
      </c>
      <c r="G89" s="1" t="s">
        <v>55</v>
      </c>
      <c r="H89" s="1" t="s">
        <v>22</v>
      </c>
      <c r="I89" s="1" t="s">
        <v>51</v>
      </c>
      <c r="J89" s="1" t="s">
        <v>59</v>
      </c>
    </row>
    <row r="90" spans="1:10" x14ac:dyDescent="0.25">
      <c r="A90" s="1">
        <v>89</v>
      </c>
      <c r="B90" s="1" t="s">
        <v>184</v>
      </c>
      <c r="C90" s="1" t="s">
        <v>18</v>
      </c>
      <c r="D90" s="1" t="s">
        <v>55</v>
      </c>
      <c r="E90" s="1" t="s">
        <v>6</v>
      </c>
      <c r="F90" s="1" t="s">
        <v>10</v>
      </c>
      <c r="G90" s="1" t="s">
        <v>51</v>
      </c>
      <c r="H90" s="1" t="s">
        <v>47</v>
      </c>
      <c r="I90" s="1" t="s">
        <v>63</v>
      </c>
      <c r="J90" s="1" t="s">
        <v>59</v>
      </c>
    </row>
    <row r="91" spans="1:10" x14ac:dyDescent="0.25">
      <c r="A91" s="1">
        <v>90</v>
      </c>
      <c r="B91" s="1" t="s">
        <v>185</v>
      </c>
      <c r="C91" s="1" t="s">
        <v>18</v>
      </c>
      <c r="D91" s="1" t="s">
        <v>55</v>
      </c>
      <c r="E91" s="1" t="s">
        <v>6</v>
      </c>
      <c r="F91" s="1" t="s">
        <v>10</v>
      </c>
      <c r="G91" s="1" t="s">
        <v>51</v>
      </c>
      <c r="H91" s="1" t="s">
        <v>43</v>
      </c>
      <c r="I91" s="1" t="s">
        <v>63</v>
      </c>
      <c r="J91" s="1" t="s">
        <v>59</v>
      </c>
    </row>
    <row r="92" spans="1:10" x14ac:dyDescent="0.25">
      <c r="A92" s="1">
        <v>91</v>
      </c>
      <c r="B92" s="1" t="s">
        <v>186</v>
      </c>
      <c r="C92" s="1" t="s">
        <v>18</v>
      </c>
      <c r="D92" s="1" t="s">
        <v>55</v>
      </c>
      <c r="E92" s="1" t="s">
        <v>6</v>
      </c>
      <c r="F92" s="1" t="s">
        <v>10</v>
      </c>
      <c r="G92" s="1" t="s">
        <v>47</v>
      </c>
      <c r="H92" s="1" t="s">
        <v>43</v>
      </c>
      <c r="I92" s="1" t="s">
        <v>63</v>
      </c>
      <c r="J92" s="1" t="s">
        <v>59</v>
      </c>
    </row>
    <row r="93" spans="1:10" x14ac:dyDescent="0.25">
      <c r="A93" s="1">
        <v>92</v>
      </c>
      <c r="B93" s="1" t="s">
        <v>187</v>
      </c>
      <c r="C93" s="1" t="s">
        <v>18</v>
      </c>
      <c r="D93" s="1" t="s">
        <v>43</v>
      </c>
      <c r="E93" s="1" t="s">
        <v>6</v>
      </c>
      <c r="F93" s="1" t="s">
        <v>10</v>
      </c>
      <c r="G93" s="1" t="s">
        <v>51</v>
      </c>
      <c r="H93" s="1" t="s">
        <v>47</v>
      </c>
      <c r="I93" s="1" t="s">
        <v>63</v>
      </c>
      <c r="J93" s="1" t="s">
        <v>59</v>
      </c>
    </row>
    <row r="94" spans="1:10" x14ac:dyDescent="0.25">
      <c r="A94" s="1">
        <v>93</v>
      </c>
      <c r="B94" s="1" t="s">
        <v>188</v>
      </c>
      <c r="C94" s="1" t="s">
        <v>18</v>
      </c>
      <c r="D94" s="1" t="s">
        <v>55</v>
      </c>
      <c r="E94" s="1" t="s">
        <v>6</v>
      </c>
      <c r="F94" s="1" t="s">
        <v>10</v>
      </c>
      <c r="G94" s="1" t="s">
        <v>47</v>
      </c>
      <c r="H94" s="1" t="s">
        <v>43</v>
      </c>
      <c r="I94" s="1" t="s">
        <v>63</v>
      </c>
      <c r="J94" s="1" t="s">
        <v>51</v>
      </c>
    </row>
    <row r="95" spans="1:10" x14ac:dyDescent="0.25">
      <c r="A95" s="1">
        <v>94</v>
      </c>
      <c r="B95" s="1" t="s">
        <v>189</v>
      </c>
      <c r="C95" s="1" t="s">
        <v>18</v>
      </c>
      <c r="D95" s="1" t="s">
        <v>55</v>
      </c>
      <c r="E95" s="1" t="s">
        <v>6</v>
      </c>
      <c r="F95" s="1" t="s">
        <v>10</v>
      </c>
      <c r="G95" s="1" t="s">
        <v>47</v>
      </c>
      <c r="H95" s="1" t="s">
        <v>43</v>
      </c>
      <c r="I95" s="1" t="s">
        <v>51</v>
      </c>
      <c r="J95" s="1" t="s">
        <v>59</v>
      </c>
    </row>
    <row r="96" spans="1:10" x14ac:dyDescent="0.25">
      <c r="A96" s="1">
        <v>95</v>
      </c>
      <c r="B96" s="1" t="s">
        <v>190</v>
      </c>
      <c r="C96" s="1" t="s">
        <v>18</v>
      </c>
      <c r="D96" s="1" t="s">
        <v>55</v>
      </c>
      <c r="E96" s="1" t="s">
        <v>6</v>
      </c>
      <c r="F96" s="1" t="s">
        <v>10</v>
      </c>
      <c r="G96" s="1" t="s">
        <v>51</v>
      </c>
      <c r="H96" s="1" t="s">
        <v>22</v>
      </c>
      <c r="I96" s="1" t="s">
        <v>63</v>
      </c>
      <c r="J96" s="1" t="s">
        <v>59</v>
      </c>
    </row>
    <row r="97" spans="1:10" x14ac:dyDescent="0.25">
      <c r="A97" s="1">
        <v>96</v>
      </c>
      <c r="B97" s="1" t="s">
        <v>191</v>
      </c>
      <c r="C97" s="1" t="s">
        <v>18</v>
      </c>
      <c r="D97" s="1" t="s">
        <v>55</v>
      </c>
      <c r="E97" s="1" t="s">
        <v>6</v>
      </c>
      <c r="F97" s="1" t="s">
        <v>10</v>
      </c>
      <c r="G97" s="1" t="s">
        <v>47</v>
      </c>
      <c r="H97" s="1" t="s">
        <v>22</v>
      </c>
      <c r="I97" s="1" t="s">
        <v>63</v>
      </c>
      <c r="J97" s="1" t="s">
        <v>59</v>
      </c>
    </row>
    <row r="98" spans="1:10" x14ac:dyDescent="0.25">
      <c r="A98" s="1">
        <v>97</v>
      </c>
      <c r="B98" s="1" t="s">
        <v>192</v>
      </c>
      <c r="C98" s="1" t="s">
        <v>18</v>
      </c>
      <c r="D98" s="1" t="s">
        <v>51</v>
      </c>
      <c r="E98" s="1" t="s">
        <v>6</v>
      </c>
      <c r="F98" s="1" t="s">
        <v>10</v>
      </c>
      <c r="G98" s="1" t="s">
        <v>47</v>
      </c>
      <c r="H98" s="1" t="s">
        <v>22</v>
      </c>
      <c r="I98" s="1" t="s">
        <v>63</v>
      </c>
      <c r="J98" s="1" t="s">
        <v>59</v>
      </c>
    </row>
    <row r="99" spans="1:10" x14ac:dyDescent="0.25">
      <c r="A99" s="1">
        <v>98</v>
      </c>
      <c r="B99" s="1" t="s">
        <v>193</v>
      </c>
      <c r="C99" s="1" t="s">
        <v>18</v>
      </c>
      <c r="D99" s="1" t="s">
        <v>55</v>
      </c>
      <c r="E99" s="1" t="s">
        <v>6</v>
      </c>
      <c r="F99" s="1" t="s">
        <v>10</v>
      </c>
      <c r="G99" s="1" t="s">
        <v>47</v>
      </c>
      <c r="H99" s="1" t="s">
        <v>22</v>
      </c>
      <c r="I99" s="1" t="s">
        <v>63</v>
      </c>
      <c r="J99" s="1" t="s">
        <v>51</v>
      </c>
    </row>
    <row r="100" spans="1:10" x14ac:dyDescent="0.25">
      <c r="A100" s="1">
        <v>99</v>
      </c>
      <c r="B100" s="1" t="s">
        <v>194</v>
      </c>
      <c r="C100" s="1" t="s">
        <v>18</v>
      </c>
      <c r="D100" s="1" t="s">
        <v>55</v>
      </c>
      <c r="E100" s="1" t="s">
        <v>6</v>
      </c>
      <c r="F100" s="1" t="s">
        <v>10</v>
      </c>
      <c r="G100" s="1" t="s">
        <v>47</v>
      </c>
      <c r="H100" s="1" t="s">
        <v>22</v>
      </c>
      <c r="I100" s="1" t="s">
        <v>51</v>
      </c>
      <c r="J100" s="1" t="s">
        <v>59</v>
      </c>
    </row>
    <row r="101" spans="1:10" x14ac:dyDescent="0.25">
      <c r="A101" s="1">
        <v>100</v>
      </c>
      <c r="B101" s="1" t="s">
        <v>195</v>
      </c>
      <c r="C101" s="1" t="s">
        <v>18</v>
      </c>
      <c r="D101" s="1" t="s">
        <v>43</v>
      </c>
      <c r="E101" s="1" t="s">
        <v>6</v>
      </c>
      <c r="F101" s="1" t="s">
        <v>10</v>
      </c>
      <c r="G101" s="1" t="s">
        <v>55</v>
      </c>
      <c r="H101" s="1" t="s">
        <v>22</v>
      </c>
      <c r="I101" s="1" t="s">
        <v>63</v>
      </c>
      <c r="J101" s="1" t="s">
        <v>59</v>
      </c>
    </row>
    <row r="102" spans="1:10" x14ac:dyDescent="0.25">
      <c r="A102" s="1">
        <v>101</v>
      </c>
      <c r="B102" s="1" t="s">
        <v>196</v>
      </c>
      <c r="C102" s="1" t="s">
        <v>18</v>
      </c>
      <c r="D102" s="1" t="s">
        <v>43</v>
      </c>
      <c r="E102" s="1" t="s">
        <v>6</v>
      </c>
      <c r="F102" s="1" t="s">
        <v>10</v>
      </c>
      <c r="G102" s="1" t="s">
        <v>51</v>
      </c>
      <c r="H102" s="1" t="s">
        <v>22</v>
      </c>
      <c r="I102" s="1" t="s">
        <v>63</v>
      </c>
      <c r="J102" s="1" t="s">
        <v>59</v>
      </c>
    </row>
    <row r="103" spans="1:10" x14ac:dyDescent="0.25">
      <c r="A103" s="1">
        <v>102</v>
      </c>
      <c r="B103" s="1" t="s">
        <v>197</v>
      </c>
      <c r="C103" s="1" t="s">
        <v>18</v>
      </c>
      <c r="D103" s="1" t="s">
        <v>43</v>
      </c>
      <c r="E103" s="1" t="s">
        <v>6</v>
      </c>
      <c r="F103" s="1" t="s">
        <v>10</v>
      </c>
      <c r="G103" s="1" t="s">
        <v>55</v>
      </c>
      <c r="H103" s="1" t="s">
        <v>22</v>
      </c>
      <c r="I103" s="1" t="s">
        <v>63</v>
      </c>
      <c r="J103" s="1" t="s">
        <v>51</v>
      </c>
    </row>
    <row r="104" spans="1:10" x14ac:dyDescent="0.25">
      <c r="A104" s="1">
        <v>103</v>
      </c>
      <c r="B104" s="1" t="s">
        <v>198</v>
      </c>
      <c r="C104" s="1" t="s">
        <v>18</v>
      </c>
      <c r="D104" s="1" t="s">
        <v>43</v>
      </c>
      <c r="E104" s="1" t="s">
        <v>6</v>
      </c>
      <c r="F104" s="1" t="s">
        <v>10</v>
      </c>
      <c r="G104" s="1" t="s">
        <v>55</v>
      </c>
      <c r="H104" s="1" t="s">
        <v>22</v>
      </c>
      <c r="I104" s="1" t="s">
        <v>51</v>
      </c>
      <c r="J104" s="1" t="s">
        <v>59</v>
      </c>
    </row>
    <row r="105" spans="1:10" x14ac:dyDescent="0.25">
      <c r="A105" s="1">
        <v>104</v>
      </c>
      <c r="B105" s="1" t="s">
        <v>199</v>
      </c>
      <c r="C105" s="1" t="s">
        <v>18</v>
      </c>
      <c r="D105" s="1" t="s">
        <v>43</v>
      </c>
      <c r="E105" s="1" t="s">
        <v>6</v>
      </c>
      <c r="F105" s="1" t="s">
        <v>10</v>
      </c>
      <c r="G105" s="1" t="s">
        <v>47</v>
      </c>
      <c r="H105" s="1" t="s">
        <v>22</v>
      </c>
      <c r="I105" s="1" t="s">
        <v>63</v>
      </c>
      <c r="J105" s="1" t="s">
        <v>59</v>
      </c>
    </row>
    <row r="106" spans="1:10" x14ac:dyDescent="0.25">
      <c r="A106" s="1">
        <v>105</v>
      </c>
      <c r="B106" s="1" t="s">
        <v>200</v>
      </c>
      <c r="C106" s="1" t="s">
        <v>47</v>
      </c>
      <c r="D106" s="1" t="s">
        <v>43</v>
      </c>
      <c r="E106" s="1" t="s">
        <v>6</v>
      </c>
      <c r="F106" s="1" t="s">
        <v>10</v>
      </c>
      <c r="G106" s="1" t="s">
        <v>55</v>
      </c>
      <c r="H106" s="1" t="s">
        <v>22</v>
      </c>
      <c r="I106" s="1" t="s">
        <v>63</v>
      </c>
      <c r="J106" s="1" t="s">
        <v>18</v>
      </c>
    </row>
    <row r="107" spans="1:10" x14ac:dyDescent="0.25">
      <c r="A107" s="1">
        <v>106</v>
      </c>
      <c r="B107" s="1" t="s">
        <v>201</v>
      </c>
      <c r="C107" s="1" t="s">
        <v>47</v>
      </c>
      <c r="D107" s="1" t="s">
        <v>43</v>
      </c>
      <c r="E107" s="1" t="s">
        <v>6</v>
      </c>
      <c r="F107" s="1" t="s">
        <v>10</v>
      </c>
      <c r="G107" s="1" t="s">
        <v>55</v>
      </c>
      <c r="H107" s="1" t="s">
        <v>22</v>
      </c>
      <c r="I107" s="1" t="s">
        <v>18</v>
      </c>
      <c r="J107" s="1" t="s">
        <v>59</v>
      </c>
    </row>
    <row r="108" spans="1:10" x14ac:dyDescent="0.25">
      <c r="A108" s="1">
        <v>107</v>
      </c>
      <c r="B108" s="1" t="s">
        <v>202</v>
      </c>
      <c r="C108" s="1" t="s">
        <v>18</v>
      </c>
      <c r="D108" s="1" t="s">
        <v>43</v>
      </c>
      <c r="E108" s="1" t="s">
        <v>6</v>
      </c>
      <c r="F108" s="1" t="s">
        <v>10</v>
      </c>
      <c r="G108" s="1" t="s">
        <v>47</v>
      </c>
      <c r="H108" s="1" t="s">
        <v>22</v>
      </c>
      <c r="I108" s="1" t="s">
        <v>63</v>
      </c>
      <c r="J108" s="1" t="s">
        <v>51</v>
      </c>
    </row>
    <row r="109" spans="1:10" x14ac:dyDescent="0.25">
      <c r="A109" s="1">
        <v>108</v>
      </c>
      <c r="B109" s="1" t="s">
        <v>203</v>
      </c>
      <c r="C109" s="1" t="s">
        <v>18</v>
      </c>
      <c r="D109" s="1" t="s">
        <v>43</v>
      </c>
      <c r="E109" s="1" t="s">
        <v>6</v>
      </c>
      <c r="F109" s="1" t="s">
        <v>10</v>
      </c>
      <c r="G109" s="1" t="s">
        <v>47</v>
      </c>
      <c r="H109" s="1" t="s">
        <v>22</v>
      </c>
      <c r="I109" s="1" t="s">
        <v>51</v>
      </c>
      <c r="J109" s="1" t="s">
        <v>59</v>
      </c>
    </row>
    <row r="110" spans="1:10" x14ac:dyDescent="0.25">
      <c r="A110" s="1">
        <v>109</v>
      </c>
      <c r="B110" s="1" t="s">
        <v>204</v>
      </c>
      <c r="C110" s="1" t="s">
        <v>47</v>
      </c>
      <c r="D110" s="1" t="s">
        <v>43</v>
      </c>
      <c r="E110" s="1" t="s">
        <v>6</v>
      </c>
      <c r="F110" s="1" t="s">
        <v>10</v>
      </c>
      <c r="G110" s="1" t="s">
        <v>55</v>
      </c>
      <c r="H110" s="1" t="s">
        <v>22</v>
      </c>
      <c r="I110" s="1" t="s">
        <v>18</v>
      </c>
      <c r="J110" s="1" t="s">
        <v>51</v>
      </c>
    </row>
    <row r="111" spans="1:10" x14ac:dyDescent="0.25">
      <c r="A111" s="1">
        <v>110</v>
      </c>
      <c r="B111" s="1" t="s">
        <v>205</v>
      </c>
      <c r="C111" s="1" t="s">
        <v>47</v>
      </c>
      <c r="D111" s="1" t="s">
        <v>55</v>
      </c>
      <c r="E111" s="1" t="s">
        <v>6</v>
      </c>
      <c r="F111" s="1" t="s">
        <v>10</v>
      </c>
      <c r="G111" s="1" t="s">
        <v>51</v>
      </c>
      <c r="H111" s="1" t="s">
        <v>14</v>
      </c>
      <c r="I111" s="1" t="s">
        <v>63</v>
      </c>
      <c r="J111" s="1" t="s">
        <v>59</v>
      </c>
    </row>
    <row r="112" spans="1:10" x14ac:dyDescent="0.25">
      <c r="A112" s="1">
        <v>111</v>
      </c>
      <c r="B112" s="1" t="s">
        <v>206</v>
      </c>
      <c r="C112" s="1" t="s">
        <v>51</v>
      </c>
      <c r="D112" s="1" t="s">
        <v>43</v>
      </c>
      <c r="E112" s="1" t="s">
        <v>6</v>
      </c>
      <c r="F112" s="1" t="s">
        <v>10</v>
      </c>
      <c r="G112" s="1" t="s">
        <v>55</v>
      </c>
      <c r="H112" s="1" t="s">
        <v>14</v>
      </c>
      <c r="I112" s="1" t="s">
        <v>63</v>
      </c>
      <c r="J112" s="1" t="s">
        <v>59</v>
      </c>
    </row>
    <row r="113" spans="1:10" x14ac:dyDescent="0.25">
      <c r="A113" s="1">
        <v>112</v>
      </c>
      <c r="B113" s="1" t="s">
        <v>207</v>
      </c>
      <c r="C113" s="1" t="s">
        <v>47</v>
      </c>
      <c r="D113" s="1" t="s">
        <v>43</v>
      </c>
      <c r="E113" s="1" t="s">
        <v>6</v>
      </c>
      <c r="F113" s="1" t="s">
        <v>10</v>
      </c>
      <c r="G113" s="1" t="s">
        <v>55</v>
      </c>
      <c r="H113" s="1" t="s">
        <v>14</v>
      </c>
      <c r="I113" s="1" t="s">
        <v>63</v>
      </c>
      <c r="J113" s="1" t="s">
        <v>59</v>
      </c>
    </row>
    <row r="114" spans="1:10" x14ac:dyDescent="0.25">
      <c r="A114" s="1">
        <v>113</v>
      </c>
      <c r="B114" s="1" t="s">
        <v>208</v>
      </c>
      <c r="C114" s="1" t="s">
        <v>47</v>
      </c>
      <c r="D114" s="1" t="s">
        <v>43</v>
      </c>
      <c r="E114" s="1" t="s">
        <v>6</v>
      </c>
      <c r="F114" s="1" t="s">
        <v>10</v>
      </c>
      <c r="G114" s="1" t="s">
        <v>51</v>
      </c>
      <c r="H114" s="1" t="s">
        <v>14</v>
      </c>
      <c r="I114" s="1" t="s">
        <v>63</v>
      </c>
      <c r="J114" s="1" t="s">
        <v>59</v>
      </c>
    </row>
    <row r="115" spans="1:10" x14ac:dyDescent="0.25">
      <c r="A115" s="1">
        <v>114</v>
      </c>
      <c r="B115" s="1" t="s">
        <v>209</v>
      </c>
      <c r="C115" s="1" t="s">
        <v>47</v>
      </c>
      <c r="D115" s="1" t="s">
        <v>43</v>
      </c>
      <c r="E115" s="1" t="s">
        <v>6</v>
      </c>
      <c r="F115" s="1" t="s">
        <v>10</v>
      </c>
      <c r="G115" s="1" t="s">
        <v>55</v>
      </c>
      <c r="H115" s="1" t="s">
        <v>14</v>
      </c>
      <c r="I115" s="1" t="s">
        <v>63</v>
      </c>
      <c r="J115" s="1" t="s">
        <v>51</v>
      </c>
    </row>
    <row r="116" spans="1:10" x14ac:dyDescent="0.25">
      <c r="A116" s="1">
        <v>115</v>
      </c>
      <c r="B116" s="1" t="s">
        <v>210</v>
      </c>
      <c r="C116" s="1" t="s">
        <v>47</v>
      </c>
      <c r="D116" s="1" t="s">
        <v>43</v>
      </c>
      <c r="E116" s="1" t="s">
        <v>6</v>
      </c>
      <c r="F116" s="1" t="s">
        <v>10</v>
      </c>
      <c r="G116" s="1" t="s">
        <v>55</v>
      </c>
      <c r="H116" s="1" t="s">
        <v>14</v>
      </c>
      <c r="I116" s="1" t="s">
        <v>51</v>
      </c>
      <c r="J116" s="1" t="s">
        <v>59</v>
      </c>
    </row>
    <row r="117" spans="1:10" x14ac:dyDescent="0.25">
      <c r="A117" s="1">
        <v>116</v>
      </c>
      <c r="B117" s="1" t="s">
        <v>211</v>
      </c>
      <c r="C117" s="1" t="s">
        <v>10</v>
      </c>
      <c r="D117" s="1" t="s">
        <v>55</v>
      </c>
      <c r="E117" s="1" t="s">
        <v>6</v>
      </c>
      <c r="F117" s="1" t="s">
        <v>14</v>
      </c>
      <c r="G117" s="1" t="s">
        <v>51</v>
      </c>
      <c r="H117" s="1" t="s">
        <v>22</v>
      </c>
      <c r="I117" s="1" t="s">
        <v>63</v>
      </c>
      <c r="J117" s="1" t="s">
        <v>59</v>
      </c>
    </row>
    <row r="118" spans="1:10" x14ac:dyDescent="0.25">
      <c r="A118" s="1">
        <v>117</v>
      </c>
      <c r="B118" s="1" t="s">
        <v>212</v>
      </c>
      <c r="C118" s="1" t="s">
        <v>10</v>
      </c>
      <c r="D118" s="1" t="s">
        <v>55</v>
      </c>
      <c r="E118" s="1" t="s">
        <v>6</v>
      </c>
      <c r="F118" s="1" t="s">
        <v>14</v>
      </c>
      <c r="G118" s="1" t="s">
        <v>47</v>
      </c>
      <c r="H118" s="1" t="s">
        <v>22</v>
      </c>
      <c r="I118" s="1" t="s">
        <v>63</v>
      </c>
      <c r="J118" s="1" t="s">
        <v>59</v>
      </c>
    </row>
    <row r="119" spans="1:10" x14ac:dyDescent="0.25">
      <c r="A119" s="1">
        <v>118</v>
      </c>
      <c r="B119" s="1" t="s">
        <v>213</v>
      </c>
      <c r="C119" s="1" t="s">
        <v>10</v>
      </c>
      <c r="D119" s="1" t="s">
        <v>51</v>
      </c>
      <c r="E119" s="1" t="s">
        <v>6</v>
      </c>
      <c r="F119" s="1" t="s">
        <v>14</v>
      </c>
      <c r="G119" s="1" t="s">
        <v>47</v>
      </c>
      <c r="H119" s="1" t="s">
        <v>22</v>
      </c>
      <c r="I119" s="1" t="s">
        <v>63</v>
      </c>
      <c r="J119" s="1" t="s">
        <v>59</v>
      </c>
    </row>
    <row r="120" spans="1:10" x14ac:dyDescent="0.25">
      <c r="A120" s="1">
        <v>119</v>
      </c>
      <c r="B120" s="1" t="s">
        <v>214</v>
      </c>
      <c r="C120" s="1" t="s">
        <v>10</v>
      </c>
      <c r="D120" s="1" t="s">
        <v>55</v>
      </c>
      <c r="E120" s="1" t="s">
        <v>6</v>
      </c>
      <c r="F120" s="1" t="s">
        <v>14</v>
      </c>
      <c r="G120" s="1" t="s">
        <v>47</v>
      </c>
      <c r="H120" s="1" t="s">
        <v>22</v>
      </c>
      <c r="I120" s="1" t="s">
        <v>63</v>
      </c>
      <c r="J120" s="1" t="s">
        <v>51</v>
      </c>
    </row>
    <row r="121" spans="1:10" x14ac:dyDescent="0.25">
      <c r="A121" s="1">
        <v>120</v>
      </c>
      <c r="B121" s="1" t="s">
        <v>215</v>
      </c>
      <c r="C121" s="1" t="s">
        <v>10</v>
      </c>
      <c r="D121" s="1" t="s">
        <v>55</v>
      </c>
      <c r="E121" s="1" t="s">
        <v>6</v>
      </c>
      <c r="F121" s="1" t="s">
        <v>14</v>
      </c>
      <c r="G121" s="1" t="s">
        <v>47</v>
      </c>
      <c r="H121" s="1" t="s">
        <v>22</v>
      </c>
      <c r="I121" s="1" t="s">
        <v>51</v>
      </c>
      <c r="J121" s="1" t="s">
        <v>59</v>
      </c>
    </row>
    <row r="122" spans="1:10" x14ac:dyDescent="0.25">
      <c r="A122" s="1">
        <v>121</v>
      </c>
      <c r="B122" s="1" t="s">
        <v>216</v>
      </c>
      <c r="C122" s="1" t="s">
        <v>10</v>
      </c>
      <c r="D122" s="1" t="s">
        <v>43</v>
      </c>
      <c r="E122" s="1" t="s">
        <v>6</v>
      </c>
      <c r="F122" s="1" t="s">
        <v>14</v>
      </c>
      <c r="G122" s="1" t="s">
        <v>55</v>
      </c>
      <c r="H122" s="1" t="s">
        <v>22</v>
      </c>
      <c r="I122" s="1" t="s">
        <v>63</v>
      </c>
      <c r="J122" s="1" t="s">
        <v>59</v>
      </c>
    </row>
    <row r="123" spans="1:10" x14ac:dyDescent="0.25">
      <c r="A123" s="1">
        <v>122</v>
      </c>
      <c r="B123" s="1" t="s">
        <v>217</v>
      </c>
      <c r="C123" s="1" t="s">
        <v>10</v>
      </c>
      <c r="D123" s="1" t="s">
        <v>43</v>
      </c>
      <c r="E123" s="1" t="s">
        <v>6</v>
      </c>
      <c r="F123" s="1" t="s">
        <v>14</v>
      </c>
      <c r="G123" s="1" t="s">
        <v>51</v>
      </c>
      <c r="H123" s="1" t="s">
        <v>22</v>
      </c>
      <c r="I123" s="1" t="s">
        <v>63</v>
      </c>
      <c r="J123" s="1" t="s">
        <v>59</v>
      </c>
    </row>
    <row r="124" spans="1:10" x14ac:dyDescent="0.25">
      <c r="A124" s="1">
        <v>123</v>
      </c>
      <c r="B124" s="1" t="s">
        <v>218</v>
      </c>
      <c r="C124" s="1" t="s">
        <v>10</v>
      </c>
      <c r="D124" s="1" t="s">
        <v>43</v>
      </c>
      <c r="E124" s="1" t="s">
        <v>6</v>
      </c>
      <c r="F124" s="1" t="s">
        <v>14</v>
      </c>
      <c r="G124" s="1" t="s">
        <v>55</v>
      </c>
      <c r="H124" s="1" t="s">
        <v>22</v>
      </c>
      <c r="I124" s="1" t="s">
        <v>63</v>
      </c>
      <c r="J124" s="1" t="s">
        <v>51</v>
      </c>
    </row>
    <row r="125" spans="1:10" x14ac:dyDescent="0.25">
      <c r="A125" s="1">
        <v>124</v>
      </c>
      <c r="B125" s="1" t="s">
        <v>219</v>
      </c>
      <c r="C125" s="1" t="s">
        <v>10</v>
      </c>
      <c r="D125" s="1" t="s">
        <v>43</v>
      </c>
      <c r="E125" s="1" t="s">
        <v>6</v>
      </c>
      <c r="F125" s="1" t="s">
        <v>14</v>
      </c>
      <c r="G125" s="1" t="s">
        <v>55</v>
      </c>
      <c r="H125" s="1" t="s">
        <v>22</v>
      </c>
      <c r="I125" s="1" t="s">
        <v>51</v>
      </c>
      <c r="J125" s="1" t="s">
        <v>59</v>
      </c>
    </row>
    <row r="126" spans="1:10" x14ac:dyDescent="0.25">
      <c r="A126" s="1">
        <v>125</v>
      </c>
      <c r="B126" s="1" t="s">
        <v>220</v>
      </c>
      <c r="C126" s="1" t="s">
        <v>10</v>
      </c>
      <c r="D126" s="1" t="s">
        <v>43</v>
      </c>
      <c r="E126" s="1" t="s">
        <v>6</v>
      </c>
      <c r="F126" s="1" t="s">
        <v>14</v>
      </c>
      <c r="G126" s="1" t="s">
        <v>47</v>
      </c>
      <c r="H126" s="1" t="s">
        <v>22</v>
      </c>
      <c r="I126" s="1" t="s">
        <v>63</v>
      </c>
      <c r="J126" s="1" t="s">
        <v>59</v>
      </c>
    </row>
    <row r="127" spans="1:10" x14ac:dyDescent="0.25">
      <c r="A127" s="1">
        <v>126</v>
      </c>
      <c r="B127" s="1" t="s">
        <v>221</v>
      </c>
      <c r="C127" s="1" t="s">
        <v>10</v>
      </c>
      <c r="D127" s="1" t="s">
        <v>43</v>
      </c>
      <c r="E127" s="1" t="s">
        <v>6</v>
      </c>
      <c r="F127" s="1" t="s">
        <v>14</v>
      </c>
      <c r="G127" s="1" t="s">
        <v>47</v>
      </c>
      <c r="H127" s="1" t="s">
        <v>22</v>
      </c>
      <c r="I127" s="1" t="s">
        <v>63</v>
      </c>
      <c r="J127" s="1" t="s">
        <v>55</v>
      </c>
    </row>
    <row r="128" spans="1:10" x14ac:dyDescent="0.25">
      <c r="A128" s="1">
        <v>127</v>
      </c>
      <c r="B128" s="1" t="s">
        <v>222</v>
      </c>
      <c r="C128" s="1" t="s">
        <v>47</v>
      </c>
      <c r="D128" s="1" t="s">
        <v>43</v>
      </c>
      <c r="E128" s="1" t="s">
        <v>6</v>
      </c>
      <c r="F128" s="1" t="s">
        <v>10</v>
      </c>
      <c r="G128" s="1" t="s">
        <v>55</v>
      </c>
      <c r="H128" s="1" t="s">
        <v>22</v>
      </c>
      <c r="I128" s="1" t="s">
        <v>14</v>
      </c>
      <c r="J128" s="1" t="s">
        <v>59</v>
      </c>
    </row>
    <row r="129" spans="1:10" x14ac:dyDescent="0.25">
      <c r="A129" s="1">
        <v>128</v>
      </c>
      <c r="B129" s="1" t="s">
        <v>223</v>
      </c>
      <c r="C129" s="1" t="s">
        <v>10</v>
      </c>
      <c r="D129" s="1" t="s">
        <v>43</v>
      </c>
      <c r="E129" s="1" t="s">
        <v>6</v>
      </c>
      <c r="F129" s="1" t="s">
        <v>14</v>
      </c>
      <c r="G129" s="1" t="s">
        <v>47</v>
      </c>
      <c r="H129" s="1" t="s">
        <v>22</v>
      </c>
      <c r="I129" s="1" t="s">
        <v>63</v>
      </c>
      <c r="J129" s="1" t="s">
        <v>51</v>
      </c>
    </row>
    <row r="130" spans="1:10" x14ac:dyDescent="0.25">
      <c r="A130" s="1">
        <v>129</v>
      </c>
      <c r="B130" s="1" t="s">
        <v>224</v>
      </c>
      <c r="C130" s="1" t="s">
        <v>10</v>
      </c>
      <c r="D130" s="1" t="s">
        <v>43</v>
      </c>
      <c r="E130" s="1" t="s">
        <v>6</v>
      </c>
      <c r="F130" s="1" t="s">
        <v>14</v>
      </c>
      <c r="G130" s="1" t="s">
        <v>47</v>
      </c>
      <c r="H130" s="1" t="s">
        <v>22</v>
      </c>
      <c r="I130" s="1" t="s">
        <v>51</v>
      </c>
      <c r="J130" s="1" t="s">
        <v>59</v>
      </c>
    </row>
    <row r="131" spans="1:10" x14ac:dyDescent="0.25">
      <c r="A131" s="1">
        <v>130</v>
      </c>
      <c r="B131" s="1" t="s">
        <v>225</v>
      </c>
      <c r="C131" s="1" t="s">
        <v>47</v>
      </c>
      <c r="D131" s="1" t="s">
        <v>43</v>
      </c>
      <c r="E131" s="1" t="s">
        <v>6</v>
      </c>
      <c r="F131" s="1" t="s">
        <v>10</v>
      </c>
      <c r="G131" s="1" t="s">
        <v>55</v>
      </c>
      <c r="H131" s="1" t="s">
        <v>22</v>
      </c>
      <c r="I131" s="1" t="s">
        <v>14</v>
      </c>
      <c r="J131" s="1" t="s">
        <v>51</v>
      </c>
    </row>
    <row r="132" spans="1:10" x14ac:dyDescent="0.25">
      <c r="A132" s="1">
        <v>131</v>
      </c>
      <c r="B132" s="1" t="s">
        <v>226</v>
      </c>
      <c r="C132" s="1" t="s">
        <v>18</v>
      </c>
      <c r="D132" s="1" t="s">
        <v>55</v>
      </c>
      <c r="E132" s="1" t="s">
        <v>6</v>
      </c>
      <c r="F132" s="1" t="s">
        <v>10</v>
      </c>
      <c r="G132" s="1" t="s">
        <v>51</v>
      </c>
      <c r="H132" s="1" t="s">
        <v>14</v>
      </c>
      <c r="I132" s="1" t="s">
        <v>63</v>
      </c>
      <c r="J132" s="1" t="s">
        <v>59</v>
      </c>
    </row>
    <row r="133" spans="1:10" x14ac:dyDescent="0.25">
      <c r="A133" s="1">
        <v>132</v>
      </c>
      <c r="B133" s="1" t="s">
        <v>227</v>
      </c>
      <c r="C133" s="1" t="s">
        <v>18</v>
      </c>
      <c r="D133" s="1" t="s">
        <v>55</v>
      </c>
      <c r="E133" s="1" t="s">
        <v>6</v>
      </c>
      <c r="F133" s="1" t="s">
        <v>10</v>
      </c>
      <c r="G133" s="1" t="s">
        <v>47</v>
      </c>
      <c r="H133" s="1" t="s">
        <v>14</v>
      </c>
      <c r="I133" s="1" t="s">
        <v>63</v>
      </c>
      <c r="J133" s="1" t="s">
        <v>59</v>
      </c>
    </row>
    <row r="134" spans="1:10" x14ac:dyDescent="0.25">
      <c r="A134" s="1">
        <v>133</v>
      </c>
      <c r="B134" s="1" t="s">
        <v>228</v>
      </c>
      <c r="C134" s="1" t="s">
        <v>18</v>
      </c>
      <c r="D134" s="1" t="s">
        <v>51</v>
      </c>
      <c r="E134" s="1" t="s">
        <v>6</v>
      </c>
      <c r="F134" s="1" t="s">
        <v>10</v>
      </c>
      <c r="G134" s="1" t="s">
        <v>47</v>
      </c>
      <c r="H134" s="1" t="s">
        <v>14</v>
      </c>
      <c r="I134" s="1" t="s">
        <v>63</v>
      </c>
      <c r="J134" s="1" t="s">
        <v>59</v>
      </c>
    </row>
    <row r="135" spans="1:10" x14ac:dyDescent="0.25">
      <c r="A135" s="1">
        <v>134</v>
      </c>
      <c r="B135" s="1" t="s">
        <v>229</v>
      </c>
      <c r="C135" s="1" t="s">
        <v>18</v>
      </c>
      <c r="D135" s="1" t="s">
        <v>55</v>
      </c>
      <c r="E135" s="1" t="s">
        <v>6</v>
      </c>
      <c r="F135" s="1" t="s">
        <v>10</v>
      </c>
      <c r="G135" s="1" t="s">
        <v>47</v>
      </c>
      <c r="H135" s="1" t="s">
        <v>14</v>
      </c>
      <c r="I135" s="1" t="s">
        <v>63</v>
      </c>
      <c r="J135" s="1" t="s">
        <v>51</v>
      </c>
    </row>
    <row r="136" spans="1:10" x14ac:dyDescent="0.25">
      <c r="A136" s="1">
        <v>135</v>
      </c>
      <c r="B136" s="1" t="s">
        <v>230</v>
      </c>
      <c r="C136" s="1" t="s">
        <v>18</v>
      </c>
      <c r="D136" s="1" t="s">
        <v>55</v>
      </c>
      <c r="E136" s="1" t="s">
        <v>6</v>
      </c>
      <c r="F136" s="1" t="s">
        <v>10</v>
      </c>
      <c r="G136" s="1" t="s">
        <v>47</v>
      </c>
      <c r="H136" s="1" t="s">
        <v>14</v>
      </c>
      <c r="I136" s="1" t="s">
        <v>51</v>
      </c>
      <c r="J136" s="1" t="s">
        <v>59</v>
      </c>
    </row>
    <row r="137" spans="1:10" x14ac:dyDescent="0.25">
      <c r="A137" s="1">
        <v>136</v>
      </c>
      <c r="B137" s="1" t="s">
        <v>231</v>
      </c>
      <c r="C137" s="1" t="s">
        <v>18</v>
      </c>
      <c r="D137" s="1" t="s">
        <v>43</v>
      </c>
      <c r="E137" s="1" t="s">
        <v>6</v>
      </c>
      <c r="F137" s="1" t="s">
        <v>10</v>
      </c>
      <c r="G137" s="1" t="s">
        <v>55</v>
      </c>
      <c r="H137" s="1" t="s">
        <v>14</v>
      </c>
      <c r="I137" s="1" t="s">
        <v>63</v>
      </c>
      <c r="J137" s="1" t="s">
        <v>59</v>
      </c>
    </row>
    <row r="138" spans="1:10" x14ac:dyDescent="0.25">
      <c r="A138" s="1">
        <v>137</v>
      </c>
      <c r="B138" s="1" t="s">
        <v>232</v>
      </c>
      <c r="C138" s="1" t="s">
        <v>18</v>
      </c>
      <c r="D138" s="1" t="s">
        <v>43</v>
      </c>
      <c r="E138" s="1" t="s">
        <v>6</v>
      </c>
      <c r="F138" s="1" t="s">
        <v>10</v>
      </c>
      <c r="G138" s="1" t="s">
        <v>51</v>
      </c>
      <c r="H138" s="1" t="s">
        <v>14</v>
      </c>
      <c r="I138" s="1" t="s">
        <v>63</v>
      </c>
      <c r="J138" s="1" t="s">
        <v>59</v>
      </c>
    </row>
    <row r="139" spans="1:10" x14ac:dyDescent="0.25">
      <c r="A139" s="1">
        <v>138</v>
      </c>
      <c r="B139" s="1" t="s">
        <v>233</v>
      </c>
      <c r="C139" s="1" t="s">
        <v>18</v>
      </c>
      <c r="D139" s="1" t="s">
        <v>43</v>
      </c>
      <c r="E139" s="1" t="s">
        <v>6</v>
      </c>
      <c r="F139" s="1" t="s">
        <v>10</v>
      </c>
      <c r="G139" s="1" t="s">
        <v>55</v>
      </c>
      <c r="H139" s="1" t="s">
        <v>14</v>
      </c>
      <c r="I139" s="1" t="s">
        <v>63</v>
      </c>
      <c r="J139" s="1" t="s">
        <v>51</v>
      </c>
    </row>
    <row r="140" spans="1:10" x14ac:dyDescent="0.25">
      <c r="A140" s="1">
        <v>139</v>
      </c>
      <c r="B140" s="1" t="s">
        <v>234</v>
      </c>
      <c r="C140" s="1" t="s">
        <v>18</v>
      </c>
      <c r="D140" s="1" t="s">
        <v>43</v>
      </c>
      <c r="E140" s="1" t="s">
        <v>6</v>
      </c>
      <c r="F140" s="1" t="s">
        <v>10</v>
      </c>
      <c r="G140" s="1" t="s">
        <v>55</v>
      </c>
      <c r="H140" s="1" t="s">
        <v>14</v>
      </c>
      <c r="I140" s="1" t="s">
        <v>51</v>
      </c>
      <c r="J140" s="1" t="s">
        <v>59</v>
      </c>
    </row>
    <row r="141" spans="1:10" x14ac:dyDescent="0.25">
      <c r="A141" s="1">
        <v>140</v>
      </c>
      <c r="B141" s="1" t="s">
        <v>235</v>
      </c>
      <c r="C141" s="1" t="s">
        <v>18</v>
      </c>
      <c r="D141" s="1" t="s">
        <v>43</v>
      </c>
      <c r="E141" s="1" t="s">
        <v>6</v>
      </c>
      <c r="F141" s="1" t="s">
        <v>10</v>
      </c>
      <c r="G141" s="1" t="s">
        <v>47</v>
      </c>
      <c r="H141" s="1" t="s">
        <v>14</v>
      </c>
      <c r="I141" s="1" t="s">
        <v>63</v>
      </c>
      <c r="J141" s="1" t="s">
        <v>59</v>
      </c>
    </row>
    <row r="142" spans="1:10" x14ac:dyDescent="0.25">
      <c r="A142" s="1">
        <v>141</v>
      </c>
      <c r="B142" s="1" t="s">
        <v>236</v>
      </c>
      <c r="C142" s="1" t="s">
        <v>47</v>
      </c>
      <c r="D142" s="1" t="s">
        <v>43</v>
      </c>
      <c r="E142" s="1" t="s">
        <v>6</v>
      </c>
      <c r="F142" s="1" t="s">
        <v>10</v>
      </c>
      <c r="G142" s="1" t="s">
        <v>55</v>
      </c>
      <c r="H142" s="1" t="s">
        <v>14</v>
      </c>
      <c r="I142" s="1" t="s">
        <v>63</v>
      </c>
      <c r="J142" s="1" t="s">
        <v>18</v>
      </c>
    </row>
    <row r="143" spans="1:10" x14ac:dyDescent="0.25">
      <c r="A143" s="1">
        <v>142</v>
      </c>
      <c r="B143" s="1" t="s">
        <v>237</v>
      </c>
      <c r="C143" s="1" t="s">
        <v>47</v>
      </c>
      <c r="D143" s="1" t="s">
        <v>43</v>
      </c>
      <c r="E143" s="1" t="s">
        <v>6</v>
      </c>
      <c r="F143" s="1" t="s">
        <v>10</v>
      </c>
      <c r="G143" s="1" t="s">
        <v>55</v>
      </c>
      <c r="H143" s="1" t="s">
        <v>14</v>
      </c>
      <c r="I143" s="1" t="s">
        <v>18</v>
      </c>
      <c r="J143" s="1" t="s">
        <v>59</v>
      </c>
    </row>
    <row r="144" spans="1:10" x14ac:dyDescent="0.25">
      <c r="A144" s="1">
        <v>143</v>
      </c>
      <c r="B144" s="1" t="s">
        <v>238</v>
      </c>
      <c r="C144" s="1" t="s">
        <v>18</v>
      </c>
      <c r="D144" s="1" t="s">
        <v>43</v>
      </c>
      <c r="E144" s="1" t="s">
        <v>6</v>
      </c>
      <c r="F144" s="1" t="s">
        <v>10</v>
      </c>
      <c r="G144" s="1" t="s">
        <v>47</v>
      </c>
      <c r="H144" s="1" t="s">
        <v>14</v>
      </c>
      <c r="I144" s="1" t="s">
        <v>63</v>
      </c>
      <c r="J144" s="1" t="s">
        <v>51</v>
      </c>
    </row>
    <row r="145" spans="1:10" x14ac:dyDescent="0.25">
      <c r="A145" s="1">
        <v>144</v>
      </c>
      <c r="B145" s="1" t="s">
        <v>239</v>
      </c>
      <c r="C145" s="1" t="s">
        <v>18</v>
      </c>
      <c r="D145" s="1" t="s">
        <v>43</v>
      </c>
      <c r="E145" s="1" t="s">
        <v>6</v>
      </c>
      <c r="F145" s="1" t="s">
        <v>10</v>
      </c>
      <c r="G145" s="1" t="s">
        <v>47</v>
      </c>
      <c r="H145" s="1" t="s">
        <v>14</v>
      </c>
      <c r="I145" s="1" t="s">
        <v>51</v>
      </c>
      <c r="J145" s="1" t="s">
        <v>59</v>
      </c>
    </row>
    <row r="146" spans="1:10" x14ac:dyDescent="0.25">
      <c r="A146" s="1">
        <v>145</v>
      </c>
      <c r="B146" s="1" t="s">
        <v>240</v>
      </c>
      <c r="C146" s="1" t="s">
        <v>47</v>
      </c>
      <c r="D146" s="1" t="s">
        <v>43</v>
      </c>
      <c r="E146" s="1" t="s">
        <v>6</v>
      </c>
      <c r="F146" s="1" t="s">
        <v>10</v>
      </c>
      <c r="G146" s="1" t="s">
        <v>55</v>
      </c>
      <c r="H146" s="1" t="s">
        <v>14</v>
      </c>
      <c r="I146" s="1" t="s">
        <v>18</v>
      </c>
      <c r="J146" s="1" t="s">
        <v>51</v>
      </c>
    </row>
    <row r="147" spans="1:10" x14ac:dyDescent="0.25">
      <c r="A147" s="1">
        <v>146</v>
      </c>
      <c r="B147" s="1" t="s">
        <v>241</v>
      </c>
      <c r="C147" s="1" t="s">
        <v>10</v>
      </c>
      <c r="D147" s="1" t="s">
        <v>55</v>
      </c>
      <c r="E147" s="1" t="s">
        <v>6</v>
      </c>
      <c r="F147" s="1" t="s">
        <v>14</v>
      </c>
      <c r="G147" s="1" t="s">
        <v>18</v>
      </c>
      <c r="H147" s="1" t="s">
        <v>22</v>
      </c>
      <c r="I147" s="1" t="s">
        <v>63</v>
      </c>
      <c r="J147" s="1" t="s">
        <v>59</v>
      </c>
    </row>
    <row r="148" spans="1:10" x14ac:dyDescent="0.25">
      <c r="A148" s="1">
        <v>147</v>
      </c>
      <c r="B148" s="1" t="s">
        <v>242</v>
      </c>
      <c r="C148" s="1" t="s">
        <v>10</v>
      </c>
      <c r="D148" s="1" t="s">
        <v>18</v>
      </c>
      <c r="E148" s="1" t="s">
        <v>6</v>
      </c>
      <c r="F148" s="1" t="s">
        <v>14</v>
      </c>
      <c r="G148" s="1" t="s">
        <v>51</v>
      </c>
      <c r="H148" s="1" t="s">
        <v>22</v>
      </c>
      <c r="I148" s="1" t="s">
        <v>63</v>
      </c>
      <c r="J148" s="1" t="s">
        <v>59</v>
      </c>
    </row>
    <row r="149" spans="1:10" x14ac:dyDescent="0.25">
      <c r="A149" s="1">
        <v>148</v>
      </c>
      <c r="B149" s="1" t="s">
        <v>243</v>
      </c>
      <c r="C149" s="1" t="s">
        <v>10</v>
      </c>
      <c r="D149" s="1" t="s">
        <v>55</v>
      </c>
      <c r="E149" s="1" t="s">
        <v>6</v>
      </c>
      <c r="F149" s="1" t="s">
        <v>14</v>
      </c>
      <c r="G149" s="1" t="s">
        <v>18</v>
      </c>
      <c r="H149" s="1" t="s">
        <v>22</v>
      </c>
      <c r="I149" s="1" t="s">
        <v>63</v>
      </c>
      <c r="J149" s="1" t="s">
        <v>51</v>
      </c>
    </row>
    <row r="150" spans="1:10" x14ac:dyDescent="0.25">
      <c r="A150" s="1">
        <v>149</v>
      </c>
      <c r="B150" s="1" t="s">
        <v>244</v>
      </c>
      <c r="C150" s="1" t="s">
        <v>10</v>
      </c>
      <c r="D150" s="1" t="s">
        <v>55</v>
      </c>
      <c r="E150" s="1" t="s">
        <v>6</v>
      </c>
      <c r="F150" s="1" t="s">
        <v>14</v>
      </c>
      <c r="G150" s="1" t="s">
        <v>18</v>
      </c>
      <c r="H150" s="1" t="s">
        <v>22</v>
      </c>
      <c r="I150" s="1" t="s">
        <v>51</v>
      </c>
      <c r="J150" s="1" t="s">
        <v>59</v>
      </c>
    </row>
    <row r="151" spans="1:10" x14ac:dyDescent="0.25">
      <c r="A151" s="1">
        <v>150</v>
      </c>
      <c r="B151" s="1" t="s">
        <v>245</v>
      </c>
      <c r="C151" s="1" t="s">
        <v>10</v>
      </c>
      <c r="D151" s="1" t="s">
        <v>18</v>
      </c>
      <c r="E151" s="1" t="s">
        <v>6</v>
      </c>
      <c r="F151" s="1" t="s">
        <v>14</v>
      </c>
      <c r="G151" s="1" t="s">
        <v>47</v>
      </c>
      <c r="H151" s="1" t="s">
        <v>22</v>
      </c>
      <c r="I151" s="1" t="s">
        <v>63</v>
      </c>
      <c r="J151" s="1" t="s">
        <v>59</v>
      </c>
    </row>
    <row r="152" spans="1:10" x14ac:dyDescent="0.25">
      <c r="A152" s="1">
        <v>151</v>
      </c>
      <c r="B152" s="1" t="s">
        <v>246</v>
      </c>
      <c r="C152" s="1" t="s">
        <v>10</v>
      </c>
      <c r="D152" s="1" t="s">
        <v>55</v>
      </c>
      <c r="E152" s="1" t="s">
        <v>6</v>
      </c>
      <c r="F152" s="1" t="s">
        <v>14</v>
      </c>
      <c r="G152" s="1" t="s">
        <v>47</v>
      </c>
      <c r="H152" s="1" t="s">
        <v>22</v>
      </c>
      <c r="I152" s="1" t="s">
        <v>63</v>
      </c>
      <c r="J152" s="1" t="s">
        <v>18</v>
      </c>
    </row>
    <row r="153" spans="1:10" x14ac:dyDescent="0.25">
      <c r="A153" s="1">
        <v>152</v>
      </c>
      <c r="B153" s="1" t="s">
        <v>247</v>
      </c>
      <c r="C153" s="1" t="s">
        <v>10</v>
      </c>
      <c r="D153" s="1" t="s">
        <v>55</v>
      </c>
      <c r="E153" s="1" t="s">
        <v>6</v>
      </c>
      <c r="F153" s="1" t="s">
        <v>14</v>
      </c>
      <c r="G153" s="1" t="s">
        <v>47</v>
      </c>
      <c r="H153" s="1" t="s">
        <v>22</v>
      </c>
      <c r="I153" s="1" t="s">
        <v>18</v>
      </c>
      <c r="J153" s="1" t="s">
        <v>59</v>
      </c>
    </row>
    <row r="154" spans="1:10" x14ac:dyDescent="0.25">
      <c r="A154" s="1">
        <v>153</v>
      </c>
      <c r="B154" s="1" t="s">
        <v>248</v>
      </c>
      <c r="C154" s="1" t="s">
        <v>10</v>
      </c>
      <c r="D154" s="1" t="s">
        <v>18</v>
      </c>
      <c r="E154" s="1" t="s">
        <v>6</v>
      </c>
      <c r="F154" s="1" t="s">
        <v>14</v>
      </c>
      <c r="G154" s="1" t="s">
        <v>47</v>
      </c>
      <c r="H154" s="1" t="s">
        <v>22</v>
      </c>
      <c r="I154" s="1" t="s">
        <v>63</v>
      </c>
      <c r="J154" s="1" t="s">
        <v>51</v>
      </c>
    </row>
    <row r="155" spans="1:10" x14ac:dyDescent="0.25">
      <c r="A155" s="1">
        <v>154</v>
      </c>
      <c r="B155" s="1" t="s">
        <v>249</v>
      </c>
      <c r="C155" s="1" t="s">
        <v>10</v>
      </c>
      <c r="D155" s="1" t="s">
        <v>18</v>
      </c>
      <c r="E155" s="1" t="s">
        <v>6</v>
      </c>
      <c r="F155" s="1" t="s">
        <v>14</v>
      </c>
      <c r="G155" s="1" t="s">
        <v>47</v>
      </c>
      <c r="H155" s="1" t="s">
        <v>22</v>
      </c>
      <c r="I155" s="1" t="s">
        <v>51</v>
      </c>
      <c r="J155" s="1" t="s">
        <v>59</v>
      </c>
    </row>
    <row r="156" spans="1:10" x14ac:dyDescent="0.25">
      <c r="A156" s="1">
        <v>155</v>
      </c>
      <c r="B156" s="1" t="s">
        <v>250</v>
      </c>
      <c r="C156" s="1" t="s">
        <v>10</v>
      </c>
      <c r="D156" s="1" t="s">
        <v>55</v>
      </c>
      <c r="E156" s="1" t="s">
        <v>6</v>
      </c>
      <c r="F156" s="1" t="s">
        <v>14</v>
      </c>
      <c r="G156" s="1" t="s">
        <v>47</v>
      </c>
      <c r="H156" s="1" t="s">
        <v>22</v>
      </c>
      <c r="I156" s="1" t="s">
        <v>18</v>
      </c>
      <c r="J156" s="1" t="s">
        <v>51</v>
      </c>
    </row>
    <row r="157" spans="1:10" x14ac:dyDescent="0.25">
      <c r="A157" s="1">
        <v>156</v>
      </c>
      <c r="B157" s="1" t="s">
        <v>251</v>
      </c>
      <c r="C157" s="1" t="s">
        <v>10</v>
      </c>
      <c r="D157" s="1" t="s">
        <v>43</v>
      </c>
      <c r="E157" s="1" t="s">
        <v>6</v>
      </c>
      <c r="F157" s="1" t="s">
        <v>14</v>
      </c>
      <c r="G157" s="1" t="s">
        <v>18</v>
      </c>
      <c r="H157" s="1" t="s">
        <v>22</v>
      </c>
      <c r="I157" s="1" t="s">
        <v>63</v>
      </c>
      <c r="J157" s="1" t="s">
        <v>59</v>
      </c>
    </row>
    <row r="158" spans="1:10" x14ac:dyDescent="0.25">
      <c r="A158" s="1">
        <v>157</v>
      </c>
      <c r="B158" s="1" t="s">
        <v>252</v>
      </c>
      <c r="C158" s="1" t="s">
        <v>10</v>
      </c>
      <c r="D158" s="1" t="s">
        <v>43</v>
      </c>
      <c r="E158" s="1" t="s">
        <v>6</v>
      </c>
      <c r="F158" s="1" t="s">
        <v>14</v>
      </c>
      <c r="G158" s="1" t="s">
        <v>55</v>
      </c>
      <c r="H158" s="1" t="s">
        <v>22</v>
      </c>
      <c r="I158" s="1" t="s">
        <v>63</v>
      </c>
      <c r="J158" s="1" t="s">
        <v>18</v>
      </c>
    </row>
    <row r="159" spans="1:10" x14ac:dyDescent="0.25">
      <c r="A159" s="1">
        <v>158</v>
      </c>
      <c r="B159" s="1" t="s">
        <v>253</v>
      </c>
      <c r="C159" s="1" t="s">
        <v>10</v>
      </c>
      <c r="D159" s="1" t="s">
        <v>43</v>
      </c>
      <c r="E159" s="1" t="s">
        <v>6</v>
      </c>
      <c r="F159" s="1" t="s">
        <v>14</v>
      </c>
      <c r="G159" s="1" t="s">
        <v>55</v>
      </c>
      <c r="H159" s="1" t="s">
        <v>22</v>
      </c>
      <c r="I159" s="1" t="s">
        <v>18</v>
      </c>
      <c r="J159" s="1" t="s">
        <v>59</v>
      </c>
    </row>
    <row r="160" spans="1:10" x14ac:dyDescent="0.25">
      <c r="A160" s="1">
        <v>159</v>
      </c>
      <c r="B160" s="1" t="s">
        <v>254</v>
      </c>
      <c r="C160" s="1" t="s">
        <v>10</v>
      </c>
      <c r="D160" s="1" t="s">
        <v>43</v>
      </c>
      <c r="E160" s="1" t="s">
        <v>6</v>
      </c>
      <c r="F160" s="1" t="s">
        <v>14</v>
      </c>
      <c r="G160" s="1" t="s">
        <v>18</v>
      </c>
      <c r="H160" s="1" t="s">
        <v>22</v>
      </c>
      <c r="I160" s="1" t="s">
        <v>63</v>
      </c>
      <c r="J160" s="1" t="s">
        <v>51</v>
      </c>
    </row>
    <row r="161" spans="1:10" x14ac:dyDescent="0.25">
      <c r="A161" s="1">
        <v>160</v>
      </c>
      <c r="B161" s="1" t="s">
        <v>255</v>
      </c>
      <c r="C161" s="1" t="s">
        <v>10</v>
      </c>
      <c r="D161" s="1" t="s">
        <v>43</v>
      </c>
      <c r="E161" s="1" t="s">
        <v>6</v>
      </c>
      <c r="F161" s="1" t="s">
        <v>14</v>
      </c>
      <c r="G161" s="1" t="s">
        <v>18</v>
      </c>
      <c r="H161" s="1" t="s">
        <v>22</v>
      </c>
      <c r="I161" s="1" t="s">
        <v>51</v>
      </c>
      <c r="J161" s="1" t="s">
        <v>59</v>
      </c>
    </row>
    <row r="162" spans="1:10" x14ac:dyDescent="0.25">
      <c r="A162" s="1">
        <v>161</v>
      </c>
      <c r="B162" s="1" t="s">
        <v>256</v>
      </c>
      <c r="C162" s="1" t="s">
        <v>10</v>
      </c>
      <c r="D162" s="1" t="s">
        <v>43</v>
      </c>
      <c r="E162" s="1" t="s">
        <v>6</v>
      </c>
      <c r="F162" s="1" t="s">
        <v>14</v>
      </c>
      <c r="G162" s="1" t="s">
        <v>55</v>
      </c>
      <c r="H162" s="1" t="s">
        <v>22</v>
      </c>
      <c r="I162" s="1" t="s">
        <v>18</v>
      </c>
      <c r="J162" s="1" t="s">
        <v>51</v>
      </c>
    </row>
    <row r="163" spans="1:10" x14ac:dyDescent="0.25">
      <c r="A163" s="1">
        <v>162</v>
      </c>
      <c r="B163" s="1" t="s">
        <v>257</v>
      </c>
      <c r="C163" s="1" t="s">
        <v>10</v>
      </c>
      <c r="D163" s="1" t="s">
        <v>43</v>
      </c>
      <c r="E163" s="1" t="s">
        <v>6</v>
      </c>
      <c r="F163" s="1" t="s">
        <v>14</v>
      </c>
      <c r="G163" s="1" t="s">
        <v>47</v>
      </c>
      <c r="H163" s="1" t="s">
        <v>22</v>
      </c>
      <c r="I163" s="1" t="s">
        <v>63</v>
      </c>
      <c r="J163" s="1" t="s">
        <v>18</v>
      </c>
    </row>
    <row r="164" spans="1:10" x14ac:dyDescent="0.25">
      <c r="A164" s="1">
        <v>163</v>
      </c>
      <c r="B164" s="1" t="s">
        <v>258</v>
      </c>
      <c r="C164" s="1" t="s">
        <v>10</v>
      </c>
      <c r="D164" s="1" t="s">
        <v>43</v>
      </c>
      <c r="E164" s="1" t="s">
        <v>6</v>
      </c>
      <c r="F164" s="1" t="s">
        <v>14</v>
      </c>
      <c r="G164" s="1" t="s">
        <v>47</v>
      </c>
      <c r="H164" s="1" t="s">
        <v>22</v>
      </c>
      <c r="I164" s="1" t="s">
        <v>18</v>
      </c>
      <c r="J164" s="1" t="s">
        <v>59</v>
      </c>
    </row>
    <row r="165" spans="1:10" x14ac:dyDescent="0.25">
      <c r="A165" s="1">
        <v>164</v>
      </c>
      <c r="B165" s="1" t="s">
        <v>259</v>
      </c>
      <c r="C165" s="1" t="s">
        <v>47</v>
      </c>
      <c r="D165" s="1" t="s">
        <v>43</v>
      </c>
      <c r="E165" s="1" t="s">
        <v>6</v>
      </c>
      <c r="F165" s="1" t="s">
        <v>10</v>
      </c>
      <c r="G165" s="1" t="s">
        <v>55</v>
      </c>
      <c r="H165" s="1" t="s">
        <v>22</v>
      </c>
      <c r="I165" s="1" t="s">
        <v>14</v>
      </c>
      <c r="J165" s="1" t="s">
        <v>18</v>
      </c>
    </row>
    <row r="166" spans="1:10" x14ac:dyDescent="0.25">
      <c r="A166" s="1">
        <v>165</v>
      </c>
      <c r="B166" s="1" t="s">
        <v>260</v>
      </c>
      <c r="C166" s="1" t="s">
        <v>10</v>
      </c>
      <c r="D166" s="1" t="s">
        <v>43</v>
      </c>
      <c r="E166" s="1" t="s">
        <v>6</v>
      </c>
      <c r="F166" s="1" t="s">
        <v>14</v>
      </c>
      <c r="G166" s="1" t="s">
        <v>47</v>
      </c>
      <c r="H166" s="1" t="s">
        <v>22</v>
      </c>
      <c r="I166" s="1" t="s">
        <v>18</v>
      </c>
      <c r="J166" s="1" t="s">
        <v>51</v>
      </c>
    </row>
    <row r="167" spans="1:10" x14ac:dyDescent="0.25">
      <c r="A167" s="1">
        <v>166</v>
      </c>
      <c r="B167" s="1" t="s">
        <v>261</v>
      </c>
      <c r="C167" s="1" t="s">
        <v>47</v>
      </c>
      <c r="D167" s="1" t="s">
        <v>55</v>
      </c>
      <c r="E167" s="1" t="s">
        <v>51</v>
      </c>
      <c r="F167" s="1" t="s">
        <v>22</v>
      </c>
      <c r="G167" s="1" t="s">
        <v>2</v>
      </c>
      <c r="H167" s="1" t="s">
        <v>43</v>
      </c>
      <c r="I167" s="1" t="s">
        <v>63</v>
      </c>
      <c r="J167" s="1" t="s">
        <v>59</v>
      </c>
    </row>
    <row r="168" spans="1:10" x14ac:dyDescent="0.25">
      <c r="A168" s="1">
        <v>167</v>
      </c>
      <c r="B168" s="1" t="s">
        <v>262</v>
      </c>
      <c r="C168" s="1" t="s">
        <v>18</v>
      </c>
      <c r="D168" s="1" t="s">
        <v>55</v>
      </c>
      <c r="E168" s="1" t="s">
        <v>51</v>
      </c>
      <c r="F168" s="1" t="s">
        <v>2</v>
      </c>
      <c r="G168" s="1" t="s">
        <v>47</v>
      </c>
      <c r="H168" s="1" t="s">
        <v>43</v>
      </c>
      <c r="I168" s="1" t="s">
        <v>63</v>
      </c>
      <c r="J168" s="1" t="s">
        <v>59</v>
      </c>
    </row>
    <row r="169" spans="1:10" x14ac:dyDescent="0.25">
      <c r="A169" s="1">
        <v>168</v>
      </c>
      <c r="B169" s="1" t="s">
        <v>263</v>
      </c>
      <c r="C169" s="1" t="s">
        <v>18</v>
      </c>
      <c r="D169" s="1" t="s">
        <v>55</v>
      </c>
      <c r="E169" s="1" t="s">
        <v>51</v>
      </c>
      <c r="F169" s="1" t="s">
        <v>22</v>
      </c>
      <c r="G169" s="1" t="s">
        <v>2</v>
      </c>
      <c r="H169" s="1" t="s">
        <v>47</v>
      </c>
      <c r="I169" s="1" t="s">
        <v>63</v>
      </c>
      <c r="J169" s="1" t="s">
        <v>59</v>
      </c>
    </row>
    <row r="170" spans="1:10" x14ac:dyDescent="0.25">
      <c r="A170" s="1">
        <v>169</v>
      </c>
      <c r="B170" s="1" t="s">
        <v>264</v>
      </c>
      <c r="C170" s="1" t="s">
        <v>18</v>
      </c>
      <c r="D170" s="1" t="s">
        <v>55</v>
      </c>
      <c r="E170" s="1" t="s">
        <v>51</v>
      </c>
      <c r="F170" s="1" t="s">
        <v>22</v>
      </c>
      <c r="G170" s="1" t="s">
        <v>2</v>
      </c>
      <c r="H170" s="1" t="s">
        <v>43</v>
      </c>
      <c r="I170" s="1" t="s">
        <v>63</v>
      </c>
      <c r="J170" s="1" t="s">
        <v>59</v>
      </c>
    </row>
    <row r="171" spans="1:10" x14ac:dyDescent="0.25">
      <c r="A171" s="1">
        <v>170</v>
      </c>
      <c r="B171" s="1" t="s">
        <v>265</v>
      </c>
      <c r="C171" s="1" t="s">
        <v>18</v>
      </c>
      <c r="D171" s="1" t="s">
        <v>43</v>
      </c>
      <c r="E171" s="1" t="s">
        <v>55</v>
      </c>
      <c r="F171" s="1" t="s">
        <v>22</v>
      </c>
      <c r="G171" s="1" t="s">
        <v>2</v>
      </c>
      <c r="H171" s="1" t="s">
        <v>47</v>
      </c>
      <c r="I171" s="1" t="s">
        <v>63</v>
      </c>
      <c r="J171" s="1" t="s">
        <v>59</v>
      </c>
    </row>
    <row r="172" spans="1:10" x14ac:dyDescent="0.25">
      <c r="A172" s="1">
        <v>171</v>
      </c>
      <c r="B172" s="1" t="s">
        <v>266</v>
      </c>
      <c r="C172" s="1" t="s">
        <v>18</v>
      </c>
      <c r="D172" s="1" t="s">
        <v>43</v>
      </c>
      <c r="E172" s="1" t="s">
        <v>51</v>
      </c>
      <c r="F172" s="1" t="s">
        <v>22</v>
      </c>
      <c r="G172" s="1" t="s">
        <v>2</v>
      </c>
      <c r="H172" s="1" t="s">
        <v>47</v>
      </c>
      <c r="I172" s="1" t="s">
        <v>63</v>
      </c>
      <c r="J172" s="1" t="s">
        <v>59</v>
      </c>
    </row>
    <row r="173" spans="1:10" x14ac:dyDescent="0.25">
      <c r="A173" s="1">
        <v>172</v>
      </c>
      <c r="B173" s="1" t="s">
        <v>267</v>
      </c>
      <c r="C173" s="1" t="s">
        <v>18</v>
      </c>
      <c r="D173" s="1" t="s">
        <v>43</v>
      </c>
      <c r="E173" s="1" t="s">
        <v>55</v>
      </c>
      <c r="F173" s="1" t="s">
        <v>22</v>
      </c>
      <c r="G173" s="1" t="s">
        <v>2</v>
      </c>
      <c r="H173" s="1" t="s">
        <v>47</v>
      </c>
      <c r="I173" s="1" t="s">
        <v>63</v>
      </c>
      <c r="J173" s="1" t="s">
        <v>51</v>
      </c>
    </row>
    <row r="174" spans="1:10" x14ac:dyDescent="0.25">
      <c r="A174" s="1">
        <v>173</v>
      </c>
      <c r="B174" s="1" t="s">
        <v>268</v>
      </c>
      <c r="C174" s="1" t="s">
        <v>18</v>
      </c>
      <c r="D174" s="1" t="s">
        <v>43</v>
      </c>
      <c r="E174" s="1" t="s">
        <v>55</v>
      </c>
      <c r="F174" s="1" t="s">
        <v>22</v>
      </c>
      <c r="G174" s="1" t="s">
        <v>2</v>
      </c>
      <c r="H174" s="1" t="s">
        <v>47</v>
      </c>
      <c r="I174" s="1" t="s">
        <v>51</v>
      </c>
      <c r="J174" s="1" t="s">
        <v>59</v>
      </c>
    </row>
    <row r="175" spans="1:10" x14ac:dyDescent="0.25">
      <c r="A175" s="1">
        <v>174</v>
      </c>
      <c r="B175" s="1" t="s">
        <v>269</v>
      </c>
      <c r="C175" s="1" t="s">
        <v>47</v>
      </c>
      <c r="D175" s="1" t="s">
        <v>55</v>
      </c>
      <c r="E175" s="1" t="s">
        <v>51</v>
      </c>
      <c r="F175" s="1" t="s">
        <v>14</v>
      </c>
      <c r="G175" s="1" t="s">
        <v>2</v>
      </c>
      <c r="H175" s="1" t="s">
        <v>43</v>
      </c>
      <c r="I175" s="1" t="s">
        <v>63</v>
      </c>
      <c r="J175" s="1" t="s">
        <v>59</v>
      </c>
    </row>
    <row r="176" spans="1:10" x14ac:dyDescent="0.25">
      <c r="A176" s="1">
        <v>175</v>
      </c>
      <c r="B176" s="1" t="s">
        <v>270</v>
      </c>
      <c r="C176" s="1" t="s">
        <v>47</v>
      </c>
      <c r="D176" s="1" t="s">
        <v>55</v>
      </c>
      <c r="E176" s="1" t="s">
        <v>51</v>
      </c>
      <c r="F176" s="1" t="s">
        <v>14</v>
      </c>
      <c r="G176" s="1" t="s">
        <v>2</v>
      </c>
      <c r="H176" s="1" t="s">
        <v>22</v>
      </c>
      <c r="I176" s="1" t="s">
        <v>63</v>
      </c>
      <c r="J176" s="1" t="s">
        <v>59</v>
      </c>
    </row>
    <row r="177" spans="1:10" x14ac:dyDescent="0.25">
      <c r="A177" s="1">
        <v>176</v>
      </c>
      <c r="B177" s="1" t="s">
        <v>271</v>
      </c>
      <c r="C177" s="1" t="s">
        <v>51</v>
      </c>
      <c r="D177" s="1" t="s">
        <v>43</v>
      </c>
      <c r="E177" s="1" t="s">
        <v>55</v>
      </c>
      <c r="F177" s="1" t="s">
        <v>14</v>
      </c>
      <c r="G177" s="1" t="s">
        <v>2</v>
      </c>
      <c r="H177" s="1" t="s">
        <v>22</v>
      </c>
      <c r="I177" s="1" t="s">
        <v>63</v>
      </c>
      <c r="J177" s="1" t="s">
        <v>59</v>
      </c>
    </row>
    <row r="178" spans="1:10" x14ac:dyDescent="0.25">
      <c r="A178" s="1">
        <v>177</v>
      </c>
      <c r="B178" s="1" t="s">
        <v>272</v>
      </c>
      <c r="C178" s="1" t="s">
        <v>47</v>
      </c>
      <c r="D178" s="1" t="s">
        <v>43</v>
      </c>
      <c r="E178" s="1" t="s">
        <v>55</v>
      </c>
      <c r="F178" s="1" t="s">
        <v>14</v>
      </c>
      <c r="G178" s="1" t="s">
        <v>2</v>
      </c>
      <c r="H178" s="1" t="s">
        <v>22</v>
      </c>
      <c r="I178" s="1" t="s">
        <v>63</v>
      </c>
      <c r="J178" s="1" t="s">
        <v>59</v>
      </c>
    </row>
    <row r="179" spans="1:10" x14ac:dyDescent="0.25">
      <c r="A179" s="1">
        <v>178</v>
      </c>
      <c r="B179" s="1" t="s">
        <v>273</v>
      </c>
      <c r="C179" s="1" t="s">
        <v>47</v>
      </c>
      <c r="D179" s="1" t="s">
        <v>43</v>
      </c>
      <c r="E179" s="1" t="s">
        <v>51</v>
      </c>
      <c r="F179" s="1" t="s">
        <v>14</v>
      </c>
      <c r="G179" s="1" t="s">
        <v>2</v>
      </c>
      <c r="H179" s="1" t="s">
        <v>22</v>
      </c>
      <c r="I179" s="1" t="s">
        <v>63</v>
      </c>
      <c r="J179" s="1" t="s">
        <v>59</v>
      </c>
    </row>
    <row r="180" spans="1:10" x14ac:dyDescent="0.25">
      <c r="A180" s="1">
        <v>179</v>
      </c>
      <c r="B180" s="1" t="s">
        <v>274</v>
      </c>
      <c r="C180" s="1" t="s">
        <v>47</v>
      </c>
      <c r="D180" s="1" t="s">
        <v>43</v>
      </c>
      <c r="E180" s="1" t="s">
        <v>55</v>
      </c>
      <c r="F180" s="1" t="s">
        <v>14</v>
      </c>
      <c r="G180" s="1" t="s">
        <v>2</v>
      </c>
      <c r="H180" s="1" t="s">
        <v>22</v>
      </c>
      <c r="I180" s="1" t="s">
        <v>63</v>
      </c>
      <c r="J180" s="1" t="s">
        <v>51</v>
      </c>
    </row>
    <row r="181" spans="1:10" x14ac:dyDescent="0.25">
      <c r="A181" s="1">
        <v>180</v>
      </c>
      <c r="B181" s="1" t="s">
        <v>275</v>
      </c>
      <c r="C181" s="1" t="s">
        <v>47</v>
      </c>
      <c r="D181" s="1" t="s">
        <v>43</v>
      </c>
      <c r="E181" s="1" t="s">
        <v>55</v>
      </c>
      <c r="F181" s="1" t="s">
        <v>14</v>
      </c>
      <c r="G181" s="1" t="s">
        <v>2</v>
      </c>
      <c r="H181" s="1" t="s">
        <v>22</v>
      </c>
      <c r="I181" s="1" t="s">
        <v>51</v>
      </c>
      <c r="J181" s="1" t="s">
        <v>59</v>
      </c>
    </row>
    <row r="182" spans="1:10" x14ac:dyDescent="0.25">
      <c r="A182" s="1">
        <v>181</v>
      </c>
      <c r="B182" s="1" t="s">
        <v>276</v>
      </c>
      <c r="C182" s="1" t="s">
        <v>18</v>
      </c>
      <c r="D182" s="1" t="s">
        <v>55</v>
      </c>
      <c r="E182" s="1" t="s">
        <v>51</v>
      </c>
      <c r="F182" s="1" t="s">
        <v>14</v>
      </c>
      <c r="G182" s="1" t="s">
        <v>2</v>
      </c>
      <c r="H182" s="1" t="s">
        <v>47</v>
      </c>
      <c r="I182" s="1" t="s">
        <v>63</v>
      </c>
      <c r="J182" s="1" t="s">
        <v>59</v>
      </c>
    </row>
    <row r="183" spans="1:10" x14ac:dyDescent="0.25">
      <c r="A183" s="1">
        <v>182</v>
      </c>
      <c r="B183" s="1" t="s">
        <v>277</v>
      </c>
      <c r="C183" s="1" t="s">
        <v>18</v>
      </c>
      <c r="D183" s="1" t="s">
        <v>55</v>
      </c>
      <c r="E183" s="1" t="s">
        <v>51</v>
      </c>
      <c r="F183" s="1" t="s">
        <v>14</v>
      </c>
      <c r="G183" s="1" t="s">
        <v>2</v>
      </c>
      <c r="H183" s="1" t="s">
        <v>43</v>
      </c>
      <c r="I183" s="1" t="s">
        <v>63</v>
      </c>
      <c r="J183" s="1" t="s">
        <v>59</v>
      </c>
    </row>
    <row r="184" spans="1:10" x14ac:dyDescent="0.25">
      <c r="A184" s="1">
        <v>183</v>
      </c>
      <c r="B184" s="1" t="s">
        <v>278</v>
      </c>
      <c r="C184" s="1" t="s">
        <v>18</v>
      </c>
      <c r="D184" s="1" t="s">
        <v>43</v>
      </c>
      <c r="E184" s="1" t="s">
        <v>55</v>
      </c>
      <c r="F184" s="1" t="s">
        <v>14</v>
      </c>
      <c r="G184" s="1" t="s">
        <v>2</v>
      </c>
      <c r="H184" s="1" t="s">
        <v>47</v>
      </c>
      <c r="I184" s="1" t="s">
        <v>63</v>
      </c>
      <c r="J184" s="1" t="s">
        <v>59</v>
      </c>
    </row>
    <row r="185" spans="1:10" x14ac:dyDescent="0.25">
      <c r="A185" s="1">
        <v>184</v>
      </c>
      <c r="B185" s="1" t="s">
        <v>279</v>
      </c>
      <c r="C185" s="1" t="s">
        <v>18</v>
      </c>
      <c r="D185" s="1" t="s">
        <v>43</v>
      </c>
      <c r="E185" s="1" t="s">
        <v>51</v>
      </c>
      <c r="F185" s="1" t="s">
        <v>14</v>
      </c>
      <c r="G185" s="1" t="s">
        <v>2</v>
      </c>
      <c r="H185" s="1" t="s">
        <v>47</v>
      </c>
      <c r="I185" s="1" t="s">
        <v>63</v>
      </c>
      <c r="J185" s="1" t="s">
        <v>59</v>
      </c>
    </row>
    <row r="186" spans="1:10" x14ac:dyDescent="0.25">
      <c r="A186" s="1">
        <v>185</v>
      </c>
      <c r="B186" s="1" t="s">
        <v>280</v>
      </c>
      <c r="C186" s="1" t="s">
        <v>18</v>
      </c>
      <c r="D186" s="1" t="s">
        <v>43</v>
      </c>
      <c r="E186" s="1" t="s">
        <v>55</v>
      </c>
      <c r="F186" s="1" t="s">
        <v>14</v>
      </c>
      <c r="G186" s="1" t="s">
        <v>2</v>
      </c>
      <c r="H186" s="1" t="s">
        <v>47</v>
      </c>
      <c r="I186" s="1" t="s">
        <v>63</v>
      </c>
      <c r="J186" s="1" t="s">
        <v>51</v>
      </c>
    </row>
    <row r="187" spans="1:10" x14ac:dyDescent="0.25">
      <c r="A187" s="1">
        <v>186</v>
      </c>
      <c r="B187" s="1" t="s">
        <v>281</v>
      </c>
      <c r="C187" s="1" t="s">
        <v>18</v>
      </c>
      <c r="D187" s="1" t="s">
        <v>43</v>
      </c>
      <c r="E187" s="1" t="s">
        <v>55</v>
      </c>
      <c r="F187" s="1" t="s">
        <v>14</v>
      </c>
      <c r="G187" s="1" t="s">
        <v>2</v>
      </c>
      <c r="H187" s="1" t="s">
        <v>47</v>
      </c>
      <c r="I187" s="1" t="s">
        <v>51</v>
      </c>
      <c r="J187" s="1" t="s">
        <v>59</v>
      </c>
    </row>
    <row r="188" spans="1:10" x14ac:dyDescent="0.25">
      <c r="A188" s="1">
        <v>187</v>
      </c>
      <c r="B188" s="1" t="s">
        <v>282</v>
      </c>
      <c r="C188" s="1" t="s">
        <v>18</v>
      </c>
      <c r="D188" s="1" t="s">
        <v>55</v>
      </c>
      <c r="E188" s="1" t="s">
        <v>51</v>
      </c>
      <c r="F188" s="1" t="s">
        <v>14</v>
      </c>
      <c r="G188" s="1" t="s">
        <v>2</v>
      </c>
      <c r="H188" s="1" t="s">
        <v>22</v>
      </c>
      <c r="I188" s="1" t="s">
        <v>63</v>
      </c>
      <c r="J188" s="1" t="s">
        <v>59</v>
      </c>
    </row>
    <row r="189" spans="1:10" x14ac:dyDescent="0.25">
      <c r="A189" s="1">
        <v>188</v>
      </c>
      <c r="B189" s="1" t="s">
        <v>283</v>
      </c>
      <c r="C189" s="1" t="s">
        <v>47</v>
      </c>
      <c r="D189" s="1" t="s">
        <v>55</v>
      </c>
      <c r="E189" s="1" t="s">
        <v>18</v>
      </c>
      <c r="F189" s="1" t="s">
        <v>14</v>
      </c>
      <c r="G189" s="1" t="s">
        <v>2</v>
      </c>
      <c r="H189" s="1" t="s">
        <v>22</v>
      </c>
      <c r="I189" s="1" t="s">
        <v>63</v>
      </c>
      <c r="J189" s="1" t="s">
        <v>59</v>
      </c>
    </row>
    <row r="190" spans="1:10" x14ac:dyDescent="0.25">
      <c r="A190" s="1">
        <v>189</v>
      </c>
      <c r="B190" s="1" t="s">
        <v>284</v>
      </c>
      <c r="C190" s="1" t="s">
        <v>47</v>
      </c>
      <c r="D190" s="1" t="s">
        <v>18</v>
      </c>
      <c r="E190" s="1" t="s">
        <v>51</v>
      </c>
      <c r="F190" s="1" t="s">
        <v>14</v>
      </c>
      <c r="G190" s="1" t="s">
        <v>2</v>
      </c>
      <c r="H190" s="1" t="s">
        <v>22</v>
      </c>
      <c r="I190" s="1" t="s">
        <v>63</v>
      </c>
      <c r="J190" s="1" t="s">
        <v>59</v>
      </c>
    </row>
    <row r="191" spans="1:10" x14ac:dyDescent="0.25">
      <c r="A191" s="1">
        <v>190</v>
      </c>
      <c r="B191" s="1" t="s">
        <v>285</v>
      </c>
      <c r="C191" s="1" t="s">
        <v>47</v>
      </c>
      <c r="D191" s="1" t="s">
        <v>55</v>
      </c>
      <c r="E191" s="1" t="s">
        <v>18</v>
      </c>
      <c r="F191" s="1" t="s">
        <v>14</v>
      </c>
      <c r="G191" s="1" t="s">
        <v>2</v>
      </c>
      <c r="H191" s="1" t="s">
        <v>22</v>
      </c>
      <c r="I191" s="1" t="s">
        <v>63</v>
      </c>
      <c r="J191" s="1" t="s">
        <v>51</v>
      </c>
    </row>
    <row r="192" spans="1:10" x14ac:dyDescent="0.25">
      <c r="A192" s="1">
        <v>191</v>
      </c>
      <c r="B192" s="1" t="s">
        <v>286</v>
      </c>
      <c r="C192" s="1" t="s">
        <v>47</v>
      </c>
      <c r="D192" s="1" t="s">
        <v>55</v>
      </c>
      <c r="E192" s="1" t="s">
        <v>18</v>
      </c>
      <c r="F192" s="1" t="s">
        <v>14</v>
      </c>
      <c r="G192" s="1" t="s">
        <v>2</v>
      </c>
      <c r="H192" s="1" t="s">
        <v>22</v>
      </c>
      <c r="I192" s="1" t="s">
        <v>51</v>
      </c>
      <c r="J192" s="1" t="s">
        <v>59</v>
      </c>
    </row>
    <row r="193" spans="1:10" x14ac:dyDescent="0.25">
      <c r="A193" s="1">
        <v>192</v>
      </c>
      <c r="B193" s="1" t="s">
        <v>287</v>
      </c>
      <c r="C193" s="1" t="s">
        <v>18</v>
      </c>
      <c r="D193" s="1" t="s">
        <v>43</v>
      </c>
      <c r="E193" s="1" t="s">
        <v>55</v>
      </c>
      <c r="F193" s="1" t="s">
        <v>14</v>
      </c>
      <c r="G193" s="1" t="s">
        <v>2</v>
      </c>
      <c r="H193" s="1" t="s">
        <v>22</v>
      </c>
      <c r="I193" s="1" t="s">
        <v>63</v>
      </c>
      <c r="J193" s="1" t="s">
        <v>59</v>
      </c>
    </row>
    <row r="194" spans="1:10" x14ac:dyDescent="0.25">
      <c r="A194" s="1">
        <v>193</v>
      </c>
      <c r="B194" s="1" t="s">
        <v>288</v>
      </c>
      <c r="C194" s="1" t="s">
        <v>18</v>
      </c>
      <c r="D194" s="1" t="s">
        <v>43</v>
      </c>
      <c r="E194" s="1" t="s">
        <v>51</v>
      </c>
      <c r="F194" s="1" t="s">
        <v>14</v>
      </c>
      <c r="G194" s="1" t="s">
        <v>2</v>
      </c>
      <c r="H194" s="1" t="s">
        <v>22</v>
      </c>
      <c r="I194" s="1" t="s">
        <v>63</v>
      </c>
      <c r="J194" s="1" t="s">
        <v>59</v>
      </c>
    </row>
    <row r="195" spans="1:10" x14ac:dyDescent="0.25">
      <c r="A195" s="1">
        <v>194</v>
      </c>
      <c r="B195" s="1" t="s">
        <v>289</v>
      </c>
      <c r="C195" s="1" t="s">
        <v>18</v>
      </c>
      <c r="D195" s="1" t="s">
        <v>43</v>
      </c>
      <c r="E195" s="1" t="s">
        <v>55</v>
      </c>
      <c r="F195" s="1" t="s">
        <v>14</v>
      </c>
      <c r="G195" s="1" t="s">
        <v>2</v>
      </c>
      <c r="H195" s="1" t="s">
        <v>22</v>
      </c>
      <c r="I195" s="1" t="s">
        <v>63</v>
      </c>
      <c r="J195" s="1" t="s">
        <v>51</v>
      </c>
    </row>
    <row r="196" spans="1:10" x14ac:dyDescent="0.25">
      <c r="A196" s="1">
        <v>195</v>
      </c>
      <c r="B196" s="1" t="s">
        <v>290</v>
      </c>
      <c r="C196" s="1" t="s">
        <v>18</v>
      </c>
      <c r="D196" s="1" t="s">
        <v>43</v>
      </c>
      <c r="E196" s="1" t="s">
        <v>55</v>
      </c>
      <c r="F196" s="1" t="s">
        <v>14</v>
      </c>
      <c r="G196" s="1" t="s">
        <v>2</v>
      </c>
      <c r="H196" s="1" t="s">
        <v>22</v>
      </c>
      <c r="I196" s="1" t="s">
        <v>51</v>
      </c>
      <c r="J196" s="1" t="s">
        <v>59</v>
      </c>
    </row>
    <row r="197" spans="1:10" x14ac:dyDescent="0.25">
      <c r="A197" s="1">
        <v>196</v>
      </c>
      <c r="B197" s="1" t="s">
        <v>291</v>
      </c>
      <c r="C197" s="1" t="s">
        <v>47</v>
      </c>
      <c r="D197" s="1" t="s">
        <v>43</v>
      </c>
      <c r="E197" s="1" t="s">
        <v>18</v>
      </c>
      <c r="F197" s="1" t="s">
        <v>14</v>
      </c>
      <c r="G197" s="1" t="s">
        <v>2</v>
      </c>
      <c r="H197" s="1" t="s">
        <v>22</v>
      </c>
      <c r="I197" s="1" t="s">
        <v>63</v>
      </c>
      <c r="J197" s="1" t="s">
        <v>59</v>
      </c>
    </row>
    <row r="198" spans="1:10" x14ac:dyDescent="0.25">
      <c r="A198" s="1">
        <v>197</v>
      </c>
      <c r="B198" s="1" t="s">
        <v>292</v>
      </c>
      <c r="C198" s="1" t="s">
        <v>47</v>
      </c>
      <c r="D198" s="1" t="s">
        <v>43</v>
      </c>
      <c r="E198" s="1" t="s">
        <v>55</v>
      </c>
      <c r="F198" s="1" t="s">
        <v>14</v>
      </c>
      <c r="G198" s="1" t="s">
        <v>2</v>
      </c>
      <c r="H198" s="1" t="s">
        <v>22</v>
      </c>
      <c r="I198" s="1" t="s">
        <v>63</v>
      </c>
      <c r="J198" s="1" t="s">
        <v>18</v>
      </c>
    </row>
    <row r="199" spans="1:10" x14ac:dyDescent="0.25">
      <c r="A199" s="1">
        <v>198</v>
      </c>
      <c r="B199" s="1" t="s">
        <v>293</v>
      </c>
      <c r="C199" s="1" t="s">
        <v>47</v>
      </c>
      <c r="D199" s="1" t="s">
        <v>43</v>
      </c>
      <c r="E199" s="1" t="s">
        <v>55</v>
      </c>
      <c r="F199" s="1" t="s">
        <v>14</v>
      </c>
      <c r="G199" s="1" t="s">
        <v>2</v>
      </c>
      <c r="H199" s="1" t="s">
        <v>22</v>
      </c>
      <c r="I199" s="1" t="s">
        <v>18</v>
      </c>
      <c r="J199" s="1" t="s">
        <v>59</v>
      </c>
    </row>
    <row r="200" spans="1:10" x14ac:dyDescent="0.25">
      <c r="A200" s="1">
        <v>199</v>
      </c>
      <c r="B200" s="1" t="s">
        <v>294</v>
      </c>
      <c r="C200" s="1" t="s">
        <v>47</v>
      </c>
      <c r="D200" s="1" t="s">
        <v>43</v>
      </c>
      <c r="E200" s="1" t="s">
        <v>18</v>
      </c>
      <c r="F200" s="1" t="s">
        <v>14</v>
      </c>
      <c r="G200" s="1" t="s">
        <v>2</v>
      </c>
      <c r="H200" s="1" t="s">
        <v>22</v>
      </c>
      <c r="I200" s="1" t="s">
        <v>63</v>
      </c>
      <c r="J200" s="1" t="s">
        <v>51</v>
      </c>
    </row>
    <row r="201" spans="1:10" x14ac:dyDescent="0.25">
      <c r="A201" s="1">
        <v>200</v>
      </c>
      <c r="B201" s="1" t="s">
        <v>295</v>
      </c>
      <c r="C201" s="1" t="s">
        <v>47</v>
      </c>
      <c r="D201" s="1" t="s">
        <v>43</v>
      </c>
      <c r="E201" s="1" t="s">
        <v>18</v>
      </c>
      <c r="F201" s="1" t="s">
        <v>14</v>
      </c>
      <c r="G201" s="1" t="s">
        <v>2</v>
      </c>
      <c r="H201" s="1" t="s">
        <v>22</v>
      </c>
      <c r="I201" s="1" t="s">
        <v>51</v>
      </c>
      <c r="J201" s="1" t="s">
        <v>59</v>
      </c>
    </row>
    <row r="202" spans="1:10" x14ac:dyDescent="0.25">
      <c r="A202" s="1">
        <v>201</v>
      </c>
      <c r="B202" s="1" t="s">
        <v>296</v>
      </c>
      <c r="C202" s="1" t="s">
        <v>47</v>
      </c>
      <c r="D202" s="1" t="s">
        <v>43</v>
      </c>
      <c r="E202" s="1" t="s">
        <v>55</v>
      </c>
      <c r="F202" s="1" t="s">
        <v>14</v>
      </c>
      <c r="G202" s="1" t="s">
        <v>2</v>
      </c>
      <c r="H202" s="1" t="s">
        <v>22</v>
      </c>
      <c r="I202" s="1" t="s">
        <v>18</v>
      </c>
      <c r="J202" s="1" t="s">
        <v>51</v>
      </c>
    </row>
    <row r="203" spans="1:10" x14ac:dyDescent="0.25">
      <c r="A203" s="1">
        <v>202</v>
      </c>
      <c r="B203" s="1" t="s">
        <v>297</v>
      </c>
      <c r="C203" s="1" t="s">
        <v>47</v>
      </c>
      <c r="D203" s="1" t="s">
        <v>55</v>
      </c>
      <c r="E203" s="1" t="s">
        <v>51</v>
      </c>
      <c r="F203" s="1" t="s">
        <v>10</v>
      </c>
      <c r="G203" s="1" t="s">
        <v>2</v>
      </c>
      <c r="H203" s="1" t="s">
        <v>43</v>
      </c>
      <c r="I203" s="1" t="s">
        <v>63</v>
      </c>
      <c r="J203" s="1" t="s">
        <v>59</v>
      </c>
    </row>
    <row r="204" spans="1:10" x14ac:dyDescent="0.25">
      <c r="A204" s="1">
        <v>203</v>
      </c>
      <c r="B204" s="1" t="s">
        <v>298</v>
      </c>
      <c r="C204" s="1" t="s">
        <v>47</v>
      </c>
      <c r="D204" s="1" t="s">
        <v>55</v>
      </c>
      <c r="E204" s="1" t="s">
        <v>51</v>
      </c>
      <c r="F204" s="1" t="s">
        <v>10</v>
      </c>
      <c r="G204" s="1" t="s">
        <v>2</v>
      </c>
      <c r="H204" s="1" t="s">
        <v>22</v>
      </c>
      <c r="I204" s="1" t="s">
        <v>63</v>
      </c>
      <c r="J204" s="1" t="s">
        <v>59</v>
      </c>
    </row>
    <row r="205" spans="1:10" x14ac:dyDescent="0.25">
      <c r="A205" s="1">
        <v>204</v>
      </c>
      <c r="B205" s="1" t="s">
        <v>299</v>
      </c>
      <c r="C205" s="1" t="s">
        <v>51</v>
      </c>
      <c r="D205" s="1" t="s">
        <v>43</v>
      </c>
      <c r="E205" s="1" t="s">
        <v>55</v>
      </c>
      <c r="F205" s="1" t="s">
        <v>10</v>
      </c>
      <c r="G205" s="1" t="s">
        <v>2</v>
      </c>
      <c r="H205" s="1" t="s">
        <v>22</v>
      </c>
      <c r="I205" s="1" t="s">
        <v>63</v>
      </c>
      <c r="J205" s="1" t="s">
        <v>59</v>
      </c>
    </row>
    <row r="206" spans="1:10" x14ac:dyDescent="0.25">
      <c r="A206" s="1">
        <v>205</v>
      </c>
      <c r="B206" s="1" t="s">
        <v>300</v>
      </c>
      <c r="C206" s="1" t="s">
        <v>47</v>
      </c>
      <c r="D206" s="1" t="s">
        <v>43</v>
      </c>
      <c r="E206" s="1" t="s">
        <v>55</v>
      </c>
      <c r="F206" s="1" t="s">
        <v>10</v>
      </c>
      <c r="G206" s="1" t="s">
        <v>2</v>
      </c>
      <c r="H206" s="1" t="s">
        <v>22</v>
      </c>
      <c r="I206" s="1" t="s">
        <v>63</v>
      </c>
      <c r="J206" s="1" t="s">
        <v>59</v>
      </c>
    </row>
    <row r="207" spans="1:10" x14ac:dyDescent="0.25">
      <c r="A207" s="1">
        <v>206</v>
      </c>
      <c r="B207" s="1" t="s">
        <v>301</v>
      </c>
      <c r="C207" s="1" t="s">
        <v>47</v>
      </c>
      <c r="D207" s="1" t="s">
        <v>43</v>
      </c>
      <c r="E207" s="1" t="s">
        <v>51</v>
      </c>
      <c r="F207" s="1" t="s">
        <v>10</v>
      </c>
      <c r="G207" s="1" t="s">
        <v>2</v>
      </c>
      <c r="H207" s="1" t="s">
        <v>22</v>
      </c>
      <c r="I207" s="1" t="s">
        <v>63</v>
      </c>
      <c r="J207" s="1" t="s">
        <v>59</v>
      </c>
    </row>
    <row r="208" spans="1:10" x14ac:dyDescent="0.25">
      <c r="A208" s="1">
        <v>207</v>
      </c>
      <c r="B208" s="1" t="s">
        <v>302</v>
      </c>
      <c r="C208" s="1" t="s">
        <v>47</v>
      </c>
      <c r="D208" s="1" t="s">
        <v>43</v>
      </c>
      <c r="E208" s="1" t="s">
        <v>55</v>
      </c>
      <c r="F208" s="1" t="s">
        <v>10</v>
      </c>
      <c r="G208" s="1" t="s">
        <v>2</v>
      </c>
      <c r="H208" s="1" t="s">
        <v>22</v>
      </c>
      <c r="I208" s="1" t="s">
        <v>63</v>
      </c>
      <c r="J208" s="1" t="s">
        <v>51</v>
      </c>
    </row>
    <row r="209" spans="1:10" x14ac:dyDescent="0.25">
      <c r="A209" s="1">
        <v>208</v>
      </c>
      <c r="B209" s="1" t="s">
        <v>303</v>
      </c>
      <c r="C209" s="1" t="s">
        <v>47</v>
      </c>
      <c r="D209" s="1" t="s">
        <v>43</v>
      </c>
      <c r="E209" s="1" t="s">
        <v>55</v>
      </c>
      <c r="F209" s="1" t="s">
        <v>10</v>
      </c>
      <c r="G209" s="1" t="s">
        <v>2</v>
      </c>
      <c r="H209" s="1" t="s">
        <v>22</v>
      </c>
      <c r="I209" s="1" t="s">
        <v>51</v>
      </c>
      <c r="J209" s="1" t="s">
        <v>59</v>
      </c>
    </row>
    <row r="210" spans="1:10" x14ac:dyDescent="0.25">
      <c r="A210" s="1">
        <v>209</v>
      </c>
      <c r="B210" s="1" t="s">
        <v>304</v>
      </c>
      <c r="C210" s="1" t="s">
        <v>18</v>
      </c>
      <c r="D210" s="1" t="s">
        <v>55</v>
      </c>
      <c r="E210" s="1" t="s">
        <v>51</v>
      </c>
      <c r="F210" s="1" t="s">
        <v>10</v>
      </c>
      <c r="G210" s="1" t="s">
        <v>2</v>
      </c>
      <c r="H210" s="1" t="s">
        <v>47</v>
      </c>
      <c r="I210" s="1" t="s">
        <v>63</v>
      </c>
      <c r="J210" s="1" t="s">
        <v>59</v>
      </c>
    </row>
    <row r="211" spans="1:10" x14ac:dyDescent="0.25">
      <c r="A211" s="1">
        <v>210</v>
      </c>
      <c r="B211" s="1" t="s">
        <v>305</v>
      </c>
      <c r="C211" s="1" t="s">
        <v>18</v>
      </c>
      <c r="D211" s="1" t="s">
        <v>55</v>
      </c>
      <c r="E211" s="1" t="s">
        <v>51</v>
      </c>
      <c r="F211" s="1" t="s">
        <v>10</v>
      </c>
      <c r="G211" s="1" t="s">
        <v>2</v>
      </c>
      <c r="H211" s="1" t="s">
        <v>43</v>
      </c>
      <c r="I211" s="1" t="s">
        <v>63</v>
      </c>
      <c r="J211" s="1" t="s">
        <v>59</v>
      </c>
    </row>
    <row r="212" spans="1:10" x14ac:dyDescent="0.25">
      <c r="A212" s="1">
        <v>211</v>
      </c>
      <c r="B212" s="1" t="s">
        <v>306</v>
      </c>
      <c r="C212" s="1" t="s">
        <v>18</v>
      </c>
      <c r="D212" s="1" t="s">
        <v>43</v>
      </c>
      <c r="E212" s="1" t="s">
        <v>55</v>
      </c>
      <c r="F212" s="1" t="s">
        <v>10</v>
      </c>
      <c r="G212" s="1" t="s">
        <v>2</v>
      </c>
      <c r="H212" s="1" t="s">
        <v>47</v>
      </c>
      <c r="I212" s="1" t="s">
        <v>63</v>
      </c>
      <c r="J212" s="1" t="s">
        <v>59</v>
      </c>
    </row>
    <row r="213" spans="1:10" x14ac:dyDescent="0.25">
      <c r="A213" s="1">
        <v>212</v>
      </c>
      <c r="B213" s="1" t="s">
        <v>307</v>
      </c>
      <c r="C213" s="1" t="s">
        <v>18</v>
      </c>
      <c r="D213" s="1" t="s">
        <v>43</v>
      </c>
      <c r="E213" s="1" t="s">
        <v>51</v>
      </c>
      <c r="F213" s="1" t="s">
        <v>10</v>
      </c>
      <c r="G213" s="1" t="s">
        <v>2</v>
      </c>
      <c r="H213" s="1" t="s">
        <v>47</v>
      </c>
      <c r="I213" s="1" t="s">
        <v>63</v>
      </c>
      <c r="J213" s="1" t="s">
        <v>59</v>
      </c>
    </row>
    <row r="214" spans="1:10" x14ac:dyDescent="0.25">
      <c r="A214" s="1">
        <v>213</v>
      </c>
      <c r="B214" s="1" t="s">
        <v>308</v>
      </c>
      <c r="C214" s="1" t="s">
        <v>18</v>
      </c>
      <c r="D214" s="1" t="s">
        <v>43</v>
      </c>
      <c r="E214" s="1" t="s">
        <v>55</v>
      </c>
      <c r="F214" s="1" t="s">
        <v>10</v>
      </c>
      <c r="G214" s="1" t="s">
        <v>2</v>
      </c>
      <c r="H214" s="1" t="s">
        <v>47</v>
      </c>
      <c r="I214" s="1" t="s">
        <v>63</v>
      </c>
      <c r="J214" s="1" t="s">
        <v>51</v>
      </c>
    </row>
    <row r="215" spans="1:10" x14ac:dyDescent="0.25">
      <c r="A215" s="1">
        <v>214</v>
      </c>
      <c r="B215" s="1" t="s">
        <v>309</v>
      </c>
      <c r="C215" s="1" t="s">
        <v>18</v>
      </c>
      <c r="D215" s="1" t="s">
        <v>43</v>
      </c>
      <c r="E215" s="1" t="s">
        <v>55</v>
      </c>
      <c r="F215" s="1" t="s">
        <v>10</v>
      </c>
      <c r="G215" s="1" t="s">
        <v>2</v>
      </c>
      <c r="H215" s="1" t="s">
        <v>47</v>
      </c>
      <c r="I215" s="1" t="s">
        <v>51</v>
      </c>
      <c r="J215" s="1" t="s">
        <v>59</v>
      </c>
    </row>
    <row r="216" spans="1:10" x14ac:dyDescent="0.25">
      <c r="A216" s="1">
        <v>215</v>
      </c>
      <c r="B216" s="1" t="s">
        <v>310</v>
      </c>
      <c r="C216" s="1" t="s">
        <v>18</v>
      </c>
      <c r="D216" s="1" t="s">
        <v>55</v>
      </c>
      <c r="E216" s="1" t="s">
        <v>51</v>
      </c>
      <c r="F216" s="1" t="s">
        <v>10</v>
      </c>
      <c r="G216" s="1" t="s">
        <v>2</v>
      </c>
      <c r="H216" s="1" t="s">
        <v>22</v>
      </c>
      <c r="I216" s="1" t="s">
        <v>63</v>
      </c>
      <c r="J216" s="1" t="s">
        <v>59</v>
      </c>
    </row>
    <row r="217" spans="1:10" x14ac:dyDescent="0.25">
      <c r="A217" s="1">
        <v>216</v>
      </c>
      <c r="B217" s="1" t="s">
        <v>311</v>
      </c>
      <c r="C217" s="1" t="s">
        <v>47</v>
      </c>
      <c r="D217" s="1" t="s">
        <v>55</v>
      </c>
      <c r="E217" s="1" t="s">
        <v>18</v>
      </c>
      <c r="F217" s="1" t="s">
        <v>10</v>
      </c>
      <c r="G217" s="1" t="s">
        <v>2</v>
      </c>
      <c r="H217" s="1" t="s">
        <v>22</v>
      </c>
      <c r="I217" s="1" t="s">
        <v>63</v>
      </c>
      <c r="J217" s="1" t="s">
        <v>59</v>
      </c>
    </row>
    <row r="218" spans="1:10" x14ac:dyDescent="0.25">
      <c r="A218" s="1">
        <v>217</v>
      </c>
      <c r="B218" s="1" t="s">
        <v>312</v>
      </c>
      <c r="C218" s="1" t="s">
        <v>47</v>
      </c>
      <c r="D218" s="1" t="s">
        <v>18</v>
      </c>
      <c r="E218" s="1" t="s">
        <v>51</v>
      </c>
      <c r="F218" s="1" t="s">
        <v>10</v>
      </c>
      <c r="G218" s="1" t="s">
        <v>2</v>
      </c>
      <c r="H218" s="1" t="s">
        <v>22</v>
      </c>
      <c r="I218" s="1" t="s">
        <v>63</v>
      </c>
      <c r="J218" s="1" t="s">
        <v>59</v>
      </c>
    </row>
    <row r="219" spans="1:10" x14ac:dyDescent="0.25">
      <c r="A219" s="1">
        <v>218</v>
      </c>
      <c r="B219" s="1" t="s">
        <v>313</v>
      </c>
      <c r="C219" s="1" t="s">
        <v>47</v>
      </c>
      <c r="D219" s="1" t="s">
        <v>55</v>
      </c>
      <c r="E219" s="1" t="s">
        <v>18</v>
      </c>
      <c r="F219" s="1" t="s">
        <v>10</v>
      </c>
      <c r="G219" s="1" t="s">
        <v>2</v>
      </c>
      <c r="H219" s="1" t="s">
        <v>22</v>
      </c>
      <c r="I219" s="1" t="s">
        <v>63</v>
      </c>
      <c r="J219" s="1" t="s">
        <v>51</v>
      </c>
    </row>
    <row r="220" spans="1:10" x14ac:dyDescent="0.25">
      <c r="A220" s="1">
        <v>219</v>
      </c>
      <c r="B220" s="1" t="s">
        <v>314</v>
      </c>
      <c r="C220" s="1" t="s">
        <v>47</v>
      </c>
      <c r="D220" s="1" t="s">
        <v>55</v>
      </c>
      <c r="E220" s="1" t="s">
        <v>18</v>
      </c>
      <c r="F220" s="1" t="s">
        <v>10</v>
      </c>
      <c r="G220" s="1" t="s">
        <v>2</v>
      </c>
      <c r="H220" s="1" t="s">
        <v>22</v>
      </c>
      <c r="I220" s="1" t="s">
        <v>51</v>
      </c>
      <c r="J220" s="1" t="s">
        <v>59</v>
      </c>
    </row>
    <row r="221" spans="1:10" x14ac:dyDescent="0.25">
      <c r="A221" s="1">
        <v>220</v>
      </c>
      <c r="B221" s="1" t="s">
        <v>315</v>
      </c>
      <c r="C221" s="1" t="s">
        <v>18</v>
      </c>
      <c r="D221" s="1" t="s">
        <v>43</v>
      </c>
      <c r="E221" s="1" t="s">
        <v>55</v>
      </c>
      <c r="F221" s="1" t="s">
        <v>10</v>
      </c>
      <c r="G221" s="1" t="s">
        <v>2</v>
      </c>
      <c r="H221" s="1" t="s">
        <v>22</v>
      </c>
      <c r="I221" s="1" t="s">
        <v>63</v>
      </c>
      <c r="J221" s="1" t="s">
        <v>59</v>
      </c>
    </row>
    <row r="222" spans="1:10" x14ac:dyDescent="0.25">
      <c r="A222" s="1">
        <v>221</v>
      </c>
      <c r="B222" s="1" t="s">
        <v>316</v>
      </c>
      <c r="C222" s="1" t="s">
        <v>18</v>
      </c>
      <c r="D222" s="1" t="s">
        <v>43</v>
      </c>
      <c r="E222" s="1" t="s">
        <v>51</v>
      </c>
      <c r="F222" s="1" t="s">
        <v>10</v>
      </c>
      <c r="G222" s="1" t="s">
        <v>2</v>
      </c>
      <c r="H222" s="1" t="s">
        <v>22</v>
      </c>
      <c r="I222" s="1" t="s">
        <v>63</v>
      </c>
      <c r="J222" s="1" t="s">
        <v>59</v>
      </c>
    </row>
    <row r="223" spans="1:10" x14ac:dyDescent="0.25">
      <c r="A223" s="1">
        <v>222</v>
      </c>
      <c r="B223" s="1" t="s">
        <v>317</v>
      </c>
      <c r="C223" s="1" t="s">
        <v>18</v>
      </c>
      <c r="D223" s="1" t="s">
        <v>43</v>
      </c>
      <c r="E223" s="1" t="s">
        <v>55</v>
      </c>
      <c r="F223" s="1" t="s">
        <v>10</v>
      </c>
      <c r="G223" s="1" t="s">
        <v>2</v>
      </c>
      <c r="H223" s="1" t="s">
        <v>22</v>
      </c>
      <c r="I223" s="1" t="s">
        <v>63</v>
      </c>
      <c r="J223" s="1" t="s">
        <v>51</v>
      </c>
    </row>
    <row r="224" spans="1:10" x14ac:dyDescent="0.25">
      <c r="A224" s="1">
        <v>223</v>
      </c>
      <c r="B224" s="1" t="s">
        <v>318</v>
      </c>
      <c r="C224" s="1" t="s">
        <v>18</v>
      </c>
      <c r="D224" s="1" t="s">
        <v>43</v>
      </c>
      <c r="E224" s="1" t="s">
        <v>55</v>
      </c>
      <c r="F224" s="1" t="s">
        <v>10</v>
      </c>
      <c r="G224" s="1" t="s">
        <v>2</v>
      </c>
      <c r="H224" s="1" t="s">
        <v>22</v>
      </c>
      <c r="I224" s="1" t="s">
        <v>51</v>
      </c>
      <c r="J224" s="1" t="s">
        <v>59</v>
      </c>
    </row>
    <row r="225" spans="1:10" x14ac:dyDescent="0.25">
      <c r="A225" s="1">
        <v>224</v>
      </c>
      <c r="B225" s="1" t="s">
        <v>319</v>
      </c>
      <c r="C225" s="1" t="s">
        <v>47</v>
      </c>
      <c r="D225" s="1" t="s">
        <v>43</v>
      </c>
      <c r="E225" s="1" t="s">
        <v>18</v>
      </c>
      <c r="F225" s="1" t="s">
        <v>10</v>
      </c>
      <c r="G225" s="1" t="s">
        <v>2</v>
      </c>
      <c r="H225" s="1" t="s">
        <v>22</v>
      </c>
      <c r="I225" s="1" t="s">
        <v>63</v>
      </c>
      <c r="J225" s="1" t="s">
        <v>59</v>
      </c>
    </row>
    <row r="226" spans="1:10" x14ac:dyDescent="0.25">
      <c r="A226" s="1">
        <v>225</v>
      </c>
      <c r="B226" s="1" t="s">
        <v>320</v>
      </c>
      <c r="C226" s="1" t="s">
        <v>47</v>
      </c>
      <c r="D226" s="1" t="s">
        <v>43</v>
      </c>
      <c r="E226" s="1" t="s">
        <v>55</v>
      </c>
      <c r="F226" s="1" t="s">
        <v>10</v>
      </c>
      <c r="G226" s="1" t="s">
        <v>2</v>
      </c>
      <c r="H226" s="1" t="s">
        <v>22</v>
      </c>
      <c r="I226" s="1" t="s">
        <v>63</v>
      </c>
      <c r="J226" s="1" t="s">
        <v>18</v>
      </c>
    </row>
    <row r="227" spans="1:10" x14ac:dyDescent="0.25">
      <c r="A227" s="1">
        <v>226</v>
      </c>
      <c r="B227" s="1" t="s">
        <v>321</v>
      </c>
      <c r="C227" s="1" t="s">
        <v>47</v>
      </c>
      <c r="D227" s="1" t="s">
        <v>43</v>
      </c>
      <c r="E227" s="1" t="s">
        <v>55</v>
      </c>
      <c r="F227" s="1" t="s">
        <v>10</v>
      </c>
      <c r="G227" s="1" t="s">
        <v>2</v>
      </c>
      <c r="H227" s="1" t="s">
        <v>22</v>
      </c>
      <c r="I227" s="1" t="s">
        <v>18</v>
      </c>
      <c r="J227" s="1" t="s">
        <v>59</v>
      </c>
    </row>
    <row r="228" spans="1:10" x14ac:dyDescent="0.25">
      <c r="A228" s="1">
        <v>227</v>
      </c>
      <c r="B228" s="1" t="s">
        <v>322</v>
      </c>
      <c r="C228" s="1" t="s">
        <v>47</v>
      </c>
      <c r="D228" s="1" t="s">
        <v>43</v>
      </c>
      <c r="E228" s="1" t="s">
        <v>18</v>
      </c>
      <c r="F228" s="1" t="s">
        <v>10</v>
      </c>
      <c r="G228" s="1" t="s">
        <v>2</v>
      </c>
      <c r="H228" s="1" t="s">
        <v>22</v>
      </c>
      <c r="I228" s="1" t="s">
        <v>63</v>
      </c>
      <c r="J228" s="1" t="s">
        <v>51</v>
      </c>
    </row>
    <row r="229" spans="1:10" x14ac:dyDescent="0.25">
      <c r="A229" s="1">
        <v>228</v>
      </c>
      <c r="B229" s="1" t="s">
        <v>323</v>
      </c>
      <c r="C229" s="1" t="s">
        <v>47</v>
      </c>
      <c r="D229" s="1" t="s">
        <v>43</v>
      </c>
      <c r="E229" s="1" t="s">
        <v>18</v>
      </c>
      <c r="F229" s="1" t="s">
        <v>10</v>
      </c>
      <c r="G229" s="1" t="s">
        <v>2</v>
      </c>
      <c r="H229" s="1" t="s">
        <v>22</v>
      </c>
      <c r="I229" s="1" t="s">
        <v>51</v>
      </c>
      <c r="J229" s="1" t="s">
        <v>59</v>
      </c>
    </row>
    <row r="230" spans="1:10" x14ac:dyDescent="0.25">
      <c r="A230" s="1">
        <v>229</v>
      </c>
      <c r="B230" s="1" t="s">
        <v>324</v>
      </c>
      <c r="C230" s="1" t="s">
        <v>47</v>
      </c>
      <c r="D230" s="1" t="s">
        <v>43</v>
      </c>
      <c r="E230" s="1" t="s">
        <v>55</v>
      </c>
      <c r="F230" s="1" t="s">
        <v>10</v>
      </c>
      <c r="G230" s="1" t="s">
        <v>2</v>
      </c>
      <c r="H230" s="1" t="s">
        <v>22</v>
      </c>
      <c r="I230" s="1" t="s">
        <v>18</v>
      </c>
      <c r="J230" s="1" t="s">
        <v>51</v>
      </c>
    </row>
    <row r="231" spans="1:10" x14ac:dyDescent="0.25">
      <c r="A231" s="1">
        <v>230</v>
      </c>
      <c r="B231" s="1" t="s">
        <v>325</v>
      </c>
      <c r="C231" s="1" t="s">
        <v>47</v>
      </c>
      <c r="D231" s="1" t="s">
        <v>55</v>
      </c>
      <c r="E231" s="1" t="s">
        <v>51</v>
      </c>
      <c r="F231" s="1" t="s">
        <v>10</v>
      </c>
      <c r="G231" s="1" t="s">
        <v>2</v>
      </c>
      <c r="H231" s="1" t="s">
        <v>14</v>
      </c>
      <c r="I231" s="1" t="s">
        <v>63</v>
      </c>
      <c r="J231" s="1" t="s">
        <v>59</v>
      </c>
    </row>
    <row r="232" spans="1:10" x14ac:dyDescent="0.25">
      <c r="A232" s="1">
        <v>231</v>
      </c>
      <c r="B232" s="1" t="s">
        <v>326</v>
      </c>
      <c r="C232" s="1" t="s">
        <v>51</v>
      </c>
      <c r="D232" s="1" t="s">
        <v>43</v>
      </c>
      <c r="E232" s="1" t="s">
        <v>55</v>
      </c>
      <c r="F232" s="1" t="s">
        <v>10</v>
      </c>
      <c r="G232" s="1" t="s">
        <v>2</v>
      </c>
      <c r="H232" s="1" t="s">
        <v>14</v>
      </c>
      <c r="I232" s="1" t="s">
        <v>63</v>
      </c>
      <c r="J232" s="1" t="s">
        <v>59</v>
      </c>
    </row>
    <row r="233" spans="1:10" x14ac:dyDescent="0.25">
      <c r="A233" s="1">
        <v>232</v>
      </c>
      <c r="B233" s="1" t="s">
        <v>327</v>
      </c>
      <c r="C233" s="1" t="s">
        <v>47</v>
      </c>
      <c r="D233" s="1" t="s">
        <v>43</v>
      </c>
      <c r="E233" s="1" t="s">
        <v>55</v>
      </c>
      <c r="F233" s="1" t="s">
        <v>10</v>
      </c>
      <c r="G233" s="1" t="s">
        <v>2</v>
      </c>
      <c r="H233" s="1" t="s">
        <v>14</v>
      </c>
      <c r="I233" s="1" t="s">
        <v>63</v>
      </c>
      <c r="J233" s="1" t="s">
        <v>59</v>
      </c>
    </row>
    <row r="234" spans="1:10" x14ac:dyDescent="0.25">
      <c r="A234" s="1">
        <v>233</v>
      </c>
      <c r="B234" s="1" t="s">
        <v>328</v>
      </c>
      <c r="C234" s="1" t="s">
        <v>47</v>
      </c>
      <c r="D234" s="1" t="s">
        <v>43</v>
      </c>
      <c r="E234" s="1" t="s">
        <v>51</v>
      </c>
      <c r="F234" s="1" t="s">
        <v>10</v>
      </c>
      <c r="G234" s="1" t="s">
        <v>2</v>
      </c>
      <c r="H234" s="1" t="s">
        <v>14</v>
      </c>
      <c r="I234" s="1" t="s">
        <v>63</v>
      </c>
      <c r="J234" s="1" t="s">
        <v>59</v>
      </c>
    </row>
    <row r="235" spans="1:10" x14ac:dyDescent="0.25">
      <c r="A235" s="1">
        <v>234</v>
      </c>
      <c r="B235" s="1" t="s">
        <v>329</v>
      </c>
      <c r="C235" s="1" t="s">
        <v>47</v>
      </c>
      <c r="D235" s="1" t="s">
        <v>43</v>
      </c>
      <c r="E235" s="1" t="s">
        <v>55</v>
      </c>
      <c r="F235" s="1" t="s">
        <v>10</v>
      </c>
      <c r="G235" s="1" t="s">
        <v>2</v>
      </c>
      <c r="H235" s="1" t="s">
        <v>14</v>
      </c>
      <c r="I235" s="1" t="s">
        <v>63</v>
      </c>
      <c r="J235" s="1" t="s">
        <v>51</v>
      </c>
    </row>
    <row r="236" spans="1:10" x14ac:dyDescent="0.25">
      <c r="A236" s="1">
        <v>235</v>
      </c>
      <c r="B236" s="1" t="s">
        <v>330</v>
      </c>
      <c r="C236" s="1" t="s">
        <v>47</v>
      </c>
      <c r="D236" s="1" t="s">
        <v>43</v>
      </c>
      <c r="E236" s="1" t="s">
        <v>55</v>
      </c>
      <c r="F236" s="1" t="s">
        <v>10</v>
      </c>
      <c r="G236" s="1" t="s">
        <v>2</v>
      </c>
      <c r="H236" s="1" t="s">
        <v>14</v>
      </c>
      <c r="I236" s="1" t="s">
        <v>51</v>
      </c>
      <c r="J236" s="1" t="s">
        <v>59</v>
      </c>
    </row>
    <row r="237" spans="1:10" x14ac:dyDescent="0.25">
      <c r="A237" s="1">
        <v>236</v>
      </c>
      <c r="B237" s="1" t="s">
        <v>331</v>
      </c>
      <c r="C237" s="1" t="s">
        <v>10</v>
      </c>
      <c r="D237" s="1" t="s">
        <v>55</v>
      </c>
      <c r="E237" s="1" t="s">
        <v>51</v>
      </c>
      <c r="F237" s="1" t="s">
        <v>14</v>
      </c>
      <c r="G237" s="1" t="s">
        <v>2</v>
      </c>
      <c r="H237" s="1" t="s">
        <v>22</v>
      </c>
      <c r="I237" s="1" t="s">
        <v>63</v>
      </c>
      <c r="J237" s="1" t="s">
        <v>59</v>
      </c>
    </row>
    <row r="238" spans="1:10" x14ac:dyDescent="0.25">
      <c r="A238" s="1">
        <v>237</v>
      </c>
      <c r="B238" s="1" t="s">
        <v>332</v>
      </c>
      <c r="C238" s="1" t="s">
        <v>47</v>
      </c>
      <c r="D238" s="1" t="s">
        <v>55</v>
      </c>
      <c r="E238" s="1" t="s">
        <v>22</v>
      </c>
      <c r="F238" s="1" t="s">
        <v>10</v>
      </c>
      <c r="G238" s="1" t="s">
        <v>2</v>
      </c>
      <c r="H238" s="1" t="s">
        <v>14</v>
      </c>
      <c r="I238" s="1" t="s">
        <v>63</v>
      </c>
      <c r="J238" s="1" t="s">
        <v>59</v>
      </c>
    </row>
    <row r="239" spans="1:10" x14ac:dyDescent="0.25">
      <c r="A239" s="1">
        <v>238</v>
      </c>
      <c r="B239" s="1" t="s">
        <v>333</v>
      </c>
      <c r="C239" s="1" t="s">
        <v>47</v>
      </c>
      <c r="D239" s="1" t="s">
        <v>22</v>
      </c>
      <c r="E239" s="1" t="s">
        <v>51</v>
      </c>
      <c r="F239" s="1" t="s">
        <v>10</v>
      </c>
      <c r="G239" s="1" t="s">
        <v>2</v>
      </c>
      <c r="H239" s="1" t="s">
        <v>14</v>
      </c>
      <c r="I239" s="1" t="s">
        <v>63</v>
      </c>
      <c r="J239" s="1" t="s">
        <v>59</v>
      </c>
    </row>
    <row r="240" spans="1:10" x14ac:dyDescent="0.25">
      <c r="A240" s="1">
        <v>239</v>
      </c>
      <c r="B240" s="1" t="s">
        <v>334</v>
      </c>
      <c r="C240" s="1" t="s">
        <v>47</v>
      </c>
      <c r="D240" s="1" t="s">
        <v>55</v>
      </c>
      <c r="E240" s="1" t="s">
        <v>22</v>
      </c>
      <c r="F240" s="1" t="s">
        <v>10</v>
      </c>
      <c r="G240" s="1" t="s">
        <v>2</v>
      </c>
      <c r="H240" s="1" t="s">
        <v>14</v>
      </c>
      <c r="I240" s="1" t="s">
        <v>63</v>
      </c>
      <c r="J240" s="1" t="s">
        <v>51</v>
      </c>
    </row>
    <row r="241" spans="1:10" x14ac:dyDescent="0.25">
      <c r="A241" s="1">
        <v>240</v>
      </c>
      <c r="B241" s="1" t="s">
        <v>335</v>
      </c>
      <c r="C241" s="1" t="s">
        <v>47</v>
      </c>
      <c r="D241" s="1" t="s">
        <v>55</v>
      </c>
      <c r="E241" s="1" t="s">
        <v>22</v>
      </c>
      <c r="F241" s="1" t="s">
        <v>10</v>
      </c>
      <c r="G241" s="1" t="s">
        <v>2</v>
      </c>
      <c r="H241" s="1" t="s">
        <v>14</v>
      </c>
      <c r="I241" s="1" t="s">
        <v>51</v>
      </c>
      <c r="J241" s="1" t="s">
        <v>59</v>
      </c>
    </row>
    <row r="242" spans="1:10" x14ac:dyDescent="0.25">
      <c r="A242" s="1">
        <v>241</v>
      </c>
      <c r="B242" s="1" t="s">
        <v>336</v>
      </c>
      <c r="C242" s="1" t="s">
        <v>10</v>
      </c>
      <c r="D242" s="1" t="s">
        <v>43</v>
      </c>
      <c r="E242" s="1" t="s">
        <v>55</v>
      </c>
      <c r="F242" s="1" t="s">
        <v>14</v>
      </c>
      <c r="G242" s="1" t="s">
        <v>2</v>
      </c>
      <c r="H242" s="1" t="s">
        <v>22</v>
      </c>
      <c r="I242" s="1" t="s">
        <v>63</v>
      </c>
      <c r="J242" s="1" t="s">
        <v>59</v>
      </c>
    </row>
    <row r="243" spans="1:10" x14ac:dyDescent="0.25">
      <c r="A243" s="1">
        <v>242</v>
      </c>
      <c r="B243" s="1" t="s">
        <v>337</v>
      </c>
      <c r="C243" s="1" t="s">
        <v>10</v>
      </c>
      <c r="D243" s="1" t="s">
        <v>43</v>
      </c>
      <c r="E243" s="1" t="s">
        <v>51</v>
      </c>
      <c r="F243" s="1" t="s">
        <v>14</v>
      </c>
      <c r="G243" s="1" t="s">
        <v>2</v>
      </c>
      <c r="H243" s="1" t="s">
        <v>22</v>
      </c>
      <c r="I243" s="1" t="s">
        <v>63</v>
      </c>
      <c r="J243" s="1" t="s">
        <v>59</v>
      </c>
    </row>
    <row r="244" spans="1:10" x14ac:dyDescent="0.25">
      <c r="A244" s="1">
        <v>243</v>
      </c>
      <c r="B244" s="1" t="s">
        <v>338</v>
      </c>
      <c r="C244" s="1" t="s">
        <v>10</v>
      </c>
      <c r="D244" s="1" t="s">
        <v>43</v>
      </c>
      <c r="E244" s="1" t="s">
        <v>55</v>
      </c>
      <c r="F244" s="1" t="s">
        <v>14</v>
      </c>
      <c r="G244" s="1" t="s">
        <v>2</v>
      </c>
      <c r="H244" s="1" t="s">
        <v>22</v>
      </c>
      <c r="I244" s="1" t="s">
        <v>63</v>
      </c>
      <c r="J244" s="1" t="s">
        <v>51</v>
      </c>
    </row>
    <row r="245" spans="1:10" x14ac:dyDescent="0.25">
      <c r="A245" s="1">
        <v>244</v>
      </c>
      <c r="B245" s="1" t="s">
        <v>339</v>
      </c>
      <c r="C245" s="1" t="s">
        <v>10</v>
      </c>
      <c r="D245" s="1" t="s">
        <v>43</v>
      </c>
      <c r="E245" s="1" t="s">
        <v>55</v>
      </c>
      <c r="F245" s="1" t="s">
        <v>14</v>
      </c>
      <c r="G245" s="1" t="s">
        <v>2</v>
      </c>
      <c r="H245" s="1" t="s">
        <v>22</v>
      </c>
      <c r="I245" s="1" t="s">
        <v>51</v>
      </c>
      <c r="J245" s="1" t="s">
        <v>59</v>
      </c>
    </row>
    <row r="246" spans="1:10" x14ac:dyDescent="0.25">
      <c r="A246" s="1">
        <v>245</v>
      </c>
      <c r="B246" s="1" t="s">
        <v>340</v>
      </c>
      <c r="C246" s="1" t="s">
        <v>47</v>
      </c>
      <c r="D246" s="1" t="s">
        <v>43</v>
      </c>
      <c r="E246" s="1" t="s">
        <v>22</v>
      </c>
      <c r="F246" s="1" t="s">
        <v>10</v>
      </c>
      <c r="G246" s="1" t="s">
        <v>2</v>
      </c>
      <c r="H246" s="1" t="s">
        <v>14</v>
      </c>
      <c r="I246" s="1" t="s">
        <v>63</v>
      </c>
      <c r="J246" s="1" t="s">
        <v>59</v>
      </c>
    </row>
    <row r="247" spans="1:10" x14ac:dyDescent="0.25">
      <c r="A247" s="1">
        <v>246</v>
      </c>
      <c r="B247" s="1" t="s">
        <v>341</v>
      </c>
      <c r="C247" s="1" t="s">
        <v>10</v>
      </c>
      <c r="D247" s="1" t="s">
        <v>43</v>
      </c>
      <c r="E247" s="1" t="s">
        <v>55</v>
      </c>
      <c r="F247" s="1" t="s">
        <v>14</v>
      </c>
      <c r="G247" s="1" t="s">
        <v>2</v>
      </c>
      <c r="H247" s="1" t="s">
        <v>22</v>
      </c>
      <c r="I247" s="1" t="s">
        <v>63</v>
      </c>
      <c r="J247" s="1" t="s">
        <v>47</v>
      </c>
    </row>
    <row r="248" spans="1:10" x14ac:dyDescent="0.25">
      <c r="A248" s="1">
        <v>247</v>
      </c>
      <c r="B248" s="1" t="s">
        <v>342</v>
      </c>
      <c r="C248" s="1" t="s">
        <v>47</v>
      </c>
      <c r="D248" s="1" t="s">
        <v>43</v>
      </c>
      <c r="E248" s="1" t="s">
        <v>55</v>
      </c>
      <c r="F248" s="1" t="s">
        <v>10</v>
      </c>
      <c r="G248" s="1" t="s">
        <v>2</v>
      </c>
      <c r="H248" s="1" t="s">
        <v>22</v>
      </c>
      <c r="I248" s="1" t="s">
        <v>14</v>
      </c>
      <c r="J248" s="1" t="s">
        <v>59</v>
      </c>
    </row>
    <row r="249" spans="1:10" x14ac:dyDescent="0.25">
      <c r="A249" s="1">
        <v>248</v>
      </c>
      <c r="B249" s="1" t="s">
        <v>343</v>
      </c>
      <c r="C249" s="1" t="s">
        <v>47</v>
      </c>
      <c r="D249" s="1" t="s">
        <v>43</v>
      </c>
      <c r="E249" s="1" t="s">
        <v>22</v>
      </c>
      <c r="F249" s="1" t="s">
        <v>10</v>
      </c>
      <c r="G249" s="1" t="s">
        <v>2</v>
      </c>
      <c r="H249" s="1" t="s">
        <v>14</v>
      </c>
      <c r="I249" s="1" t="s">
        <v>63</v>
      </c>
      <c r="J249" s="1" t="s">
        <v>51</v>
      </c>
    </row>
    <row r="250" spans="1:10" x14ac:dyDescent="0.25">
      <c r="A250" s="1">
        <v>249</v>
      </c>
      <c r="B250" s="1" t="s">
        <v>344</v>
      </c>
      <c r="C250" s="1" t="s">
        <v>47</v>
      </c>
      <c r="D250" s="1" t="s">
        <v>43</v>
      </c>
      <c r="E250" s="1" t="s">
        <v>22</v>
      </c>
      <c r="F250" s="1" t="s">
        <v>10</v>
      </c>
      <c r="G250" s="1" t="s">
        <v>2</v>
      </c>
      <c r="H250" s="1" t="s">
        <v>14</v>
      </c>
      <c r="I250" s="1" t="s">
        <v>51</v>
      </c>
      <c r="J250" s="1" t="s">
        <v>59</v>
      </c>
    </row>
    <row r="251" spans="1:10" x14ac:dyDescent="0.25">
      <c r="A251" s="1">
        <v>250</v>
      </c>
      <c r="B251" s="1" t="s">
        <v>345</v>
      </c>
      <c r="C251" s="1" t="s">
        <v>47</v>
      </c>
      <c r="D251" s="1" t="s">
        <v>43</v>
      </c>
      <c r="E251" s="1" t="s">
        <v>55</v>
      </c>
      <c r="F251" s="1" t="s">
        <v>10</v>
      </c>
      <c r="G251" s="1" t="s">
        <v>2</v>
      </c>
      <c r="H251" s="1" t="s">
        <v>22</v>
      </c>
      <c r="I251" s="1" t="s">
        <v>14</v>
      </c>
      <c r="J251" s="1" t="s">
        <v>51</v>
      </c>
    </row>
    <row r="252" spans="1:10" x14ac:dyDescent="0.25">
      <c r="A252" s="1">
        <v>251</v>
      </c>
      <c r="B252" s="1" t="s">
        <v>346</v>
      </c>
      <c r="C252" s="1" t="s">
        <v>18</v>
      </c>
      <c r="D252" s="1" t="s">
        <v>55</v>
      </c>
      <c r="E252" s="1" t="s">
        <v>51</v>
      </c>
      <c r="F252" s="1" t="s">
        <v>10</v>
      </c>
      <c r="G252" s="1" t="s">
        <v>2</v>
      </c>
      <c r="H252" s="1" t="s">
        <v>14</v>
      </c>
      <c r="I252" s="1" t="s">
        <v>63</v>
      </c>
      <c r="J252" s="1" t="s">
        <v>59</v>
      </c>
    </row>
    <row r="253" spans="1:10" x14ac:dyDescent="0.25">
      <c r="A253" s="1">
        <v>252</v>
      </c>
      <c r="B253" s="1" t="s">
        <v>347</v>
      </c>
      <c r="C253" s="1" t="s">
        <v>47</v>
      </c>
      <c r="D253" s="1" t="s">
        <v>55</v>
      </c>
      <c r="E253" s="1" t="s">
        <v>18</v>
      </c>
      <c r="F253" s="1" t="s">
        <v>10</v>
      </c>
      <c r="G253" s="1" t="s">
        <v>2</v>
      </c>
      <c r="H253" s="1" t="s">
        <v>14</v>
      </c>
      <c r="I253" s="1" t="s">
        <v>63</v>
      </c>
      <c r="J253" s="1" t="s">
        <v>59</v>
      </c>
    </row>
    <row r="254" spans="1:10" x14ac:dyDescent="0.25">
      <c r="A254" s="1">
        <v>253</v>
      </c>
      <c r="B254" s="1" t="s">
        <v>348</v>
      </c>
      <c r="C254" s="1" t="s">
        <v>47</v>
      </c>
      <c r="D254" s="1" t="s">
        <v>18</v>
      </c>
      <c r="E254" s="1" t="s">
        <v>51</v>
      </c>
      <c r="F254" s="1" t="s">
        <v>10</v>
      </c>
      <c r="G254" s="1" t="s">
        <v>2</v>
      </c>
      <c r="H254" s="1" t="s">
        <v>14</v>
      </c>
      <c r="I254" s="1" t="s">
        <v>63</v>
      </c>
      <c r="J254" s="1" t="s">
        <v>59</v>
      </c>
    </row>
    <row r="255" spans="1:10" x14ac:dyDescent="0.25">
      <c r="A255" s="1">
        <v>254</v>
      </c>
      <c r="B255" s="1" t="s">
        <v>349</v>
      </c>
      <c r="C255" s="1" t="s">
        <v>47</v>
      </c>
      <c r="D255" s="1" t="s">
        <v>55</v>
      </c>
      <c r="E255" s="1" t="s">
        <v>18</v>
      </c>
      <c r="F255" s="1" t="s">
        <v>10</v>
      </c>
      <c r="G255" s="1" t="s">
        <v>2</v>
      </c>
      <c r="H255" s="1" t="s">
        <v>14</v>
      </c>
      <c r="I255" s="1" t="s">
        <v>63</v>
      </c>
      <c r="J255" s="1" t="s">
        <v>51</v>
      </c>
    </row>
    <row r="256" spans="1:10" x14ac:dyDescent="0.25">
      <c r="A256" s="1">
        <v>255</v>
      </c>
      <c r="B256" s="1" t="s">
        <v>350</v>
      </c>
      <c r="C256" s="1" t="s">
        <v>47</v>
      </c>
      <c r="D256" s="1" t="s">
        <v>55</v>
      </c>
      <c r="E256" s="1" t="s">
        <v>18</v>
      </c>
      <c r="F256" s="1" t="s">
        <v>10</v>
      </c>
      <c r="G256" s="1" t="s">
        <v>2</v>
      </c>
      <c r="H256" s="1" t="s">
        <v>14</v>
      </c>
      <c r="I256" s="1" t="s">
        <v>51</v>
      </c>
      <c r="J256" s="1" t="s">
        <v>59</v>
      </c>
    </row>
    <row r="257" spans="1:10" x14ac:dyDescent="0.25">
      <c r="A257" s="1">
        <v>256</v>
      </c>
      <c r="B257" s="1" t="s">
        <v>351</v>
      </c>
      <c r="C257" s="1" t="s">
        <v>18</v>
      </c>
      <c r="D257" s="1" t="s">
        <v>43</v>
      </c>
      <c r="E257" s="1" t="s">
        <v>55</v>
      </c>
      <c r="F257" s="1" t="s">
        <v>10</v>
      </c>
      <c r="G257" s="1" t="s">
        <v>2</v>
      </c>
      <c r="H257" s="1" t="s">
        <v>14</v>
      </c>
      <c r="I257" s="1" t="s">
        <v>63</v>
      </c>
      <c r="J257" s="1" t="s">
        <v>59</v>
      </c>
    </row>
    <row r="258" spans="1:10" x14ac:dyDescent="0.25">
      <c r="A258" s="1">
        <v>257</v>
      </c>
      <c r="B258" s="1" t="s">
        <v>352</v>
      </c>
      <c r="C258" s="1" t="s">
        <v>18</v>
      </c>
      <c r="D258" s="1" t="s">
        <v>43</v>
      </c>
      <c r="E258" s="1" t="s">
        <v>51</v>
      </c>
      <c r="F258" s="1" t="s">
        <v>10</v>
      </c>
      <c r="G258" s="1" t="s">
        <v>2</v>
      </c>
      <c r="H258" s="1" t="s">
        <v>14</v>
      </c>
      <c r="I258" s="1" t="s">
        <v>63</v>
      </c>
      <c r="J258" s="1" t="s">
        <v>59</v>
      </c>
    </row>
    <row r="259" spans="1:10" x14ac:dyDescent="0.25">
      <c r="A259" s="1">
        <v>258</v>
      </c>
      <c r="B259" s="1" t="s">
        <v>353</v>
      </c>
      <c r="C259" s="1" t="s">
        <v>18</v>
      </c>
      <c r="D259" s="1" t="s">
        <v>43</v>
      </c>
      <c r="E259" s="1" t="s">
        <v>55</v>
      </c>
      <c r="F259" s="1" t="s">
        <v>10</v>
      </c>
      <c r="G259" s="1" t="s">
        <v>2</v>
      </c>
      <c r="H259" s="1" t="s">
        <v>14</v>
      </c>
      <c r="I259" s="1" t="s">
        <v>63</v>
      </c>
      <c r="J259" s="1" t="s">
        <v>51</v>
      </c>
    </row>
    <row r="260" spans="1:10" x14ac:dyDescent="0.25">
      <c r="A260" s="1">
        <v>259</v>
      </c>
      <c r="B260" s="1" t="s">
        <v>354</v>
      </c>
      <c r="C260" s="1" t="s">
        <v>18</v>
      </c>
      <c r="D260" s="1" t="s">
        <v>43</v>
      </c>
      <c r="E260" s="1" t="s">
        <v>55</v>
      </c>
      <c r="F260" s="1" t="s">
        <v>10</v>
      </c>
      <c r="G260" s="1" t="s">
        <v>2</v>
      </c>
      <c r="H260" s="1" t="s">
        <v>14</v>
      </c>
      <c r="I260" s="1" t="s">
        <v>51</v>
      </c>
      <c r="J260" s="1" t="s">
        <v>59</v>
      </c>
    </row>
    <row r="261" spans="1:10" x14ac:dyDescent="0.25">
      <c r="A261" s="1">
        <v>260</v>
      </c>
      <c r="B261" s="1" t="s">
        <v>355</v>
      </c>
      <c r="C261" s="1" t="s">
        <v>47</v>
      </c>
      <c r="D261" s="1" t="s">
        <v>43</v>
      </c>
      <c r="E261" s="1" t="s">
        <v>18</v>
      </c>
      <c r="F261" s="1" t="s">
        <v>10</v>
      </c>
      <c r="G261" s="1" t="s">
        <v>2</v>
      </c>
      <c r="H261" s="1" t="s">
        <v>14</v>
      </c>
      <c r="I261" s="1" t="s">
        <v>63</v>
      </c>
      <c r="J261" s="1" t="s">
        <v>59</v>
      </c>
    </row>
    <row r="262" spans="1:10" x14ac:dyDescent="0.25">
      <c r="A262" s="1">
        <v>261</v>
      </c>
      <c r="B262" s="1" t="s">
        <v>356</v>
      </c>
      <c r="C262" s="1" t="s">
        <v>47</v>
      </c>
      <c r="D262" s="1" t="s">
        <v>43</v>
      </c>
      <c r="E262" s="1" t="s">
        <v>55</v>
      </c>
      <c r="F262" s="1" t="s">
        <v>10</v>
      </c>
      <c r="G262" s="1" t="s">
        <v>2</v>
      </c>
      <c r="H262" s="1" t="s">
        <v>14</v>
      </c>
      <c r="I262" s="1" t="s">
        <v>63</v>
      </c>
      <c r="J262" s="1" t="s">
        <v>18</v>
      </c>
    </row>
    <row r="263" spans="1:10" x14ac:dyDescent="0.25">
      <c r="A263" s="1">
        <v>262</v>
      </c>
      <c r="B263" s="1" t="s">
        <v>357</v>
      </c>
      <c r="C263" s="1" t="s">
        <v>47</v>
      </c>
      <c r="D263" s="1" t="s">
        <v>43</v>
      </c>
      <c r="E263" s="1" t="s">
        <v>55</v>
      </c>
      <c r="F263" s="1" t="s">
        <v>10</v>
      </c>
      <c r="G263" s="1" t="s">
        <v>2</v>
      </c>
      <c r="H263" s="1" t="s">
        <v>14</v>
      </c>
      <c r="I263" s="1" t="s">
        <v>18</v>
      </c>
      <c r="J263" s="1" t="s">
        <v>59</v>
      </c>
    </row>
    <row r="264" spans="1:10" x14ac:dyDescent="0.25">
      <c r="A264" s="1">
        <v>263</v>
      </c>
      <c r="B264" s="1" t="s">
        <v>358</v>
      </c>
      <c r="C264" s="1" t="s">
        <v>47</v>
      </c>
      <c r="D264" s="1" t="s">
        <v>43</v>
      </c>
      <c r="E264" s="1" t="s">
        <v>18</v>
      </c>
      <c r="F264" s="1" t="s">
        <v>10</v>
      </c>
      <c r="G264" s="1" t="s">
        <v>2</v>
      </c>
      <c r="H264" s="1" t="s">
        <v>14</v>
      </c>
      <c r="I264" s="1" t="s">
        <v>63</v>
      </c>
      <c r="J264" s="1" t="s">
        <v>51</v>
      </c>
    </row>
    <row r="265" spans="1:10" x14ac:dyDescent="0.25">
      <c r="A265" s="1">
        <v>264</v>
      </c>
      <c r="B265" s="1" t="s">
        <v>359</v>
      </c>
      <c r="C265" s="1" t="s">
        <v>47</v>
      </c>
      <c r="D265" s="1" t="s">
        <v>43</v>
      </c>
      <c r="E265" s="1" t="s">
        <v>18</v>
      </c>
      <c r="F265" s="1" t="s">
        <v>10</v>
      </c>
      <c r="G265" s="1" t="s">
        <v>2</v>
      </c>
      <c r="H265" s="1" t="s">
        <v>14</v>
      </c>
      <c r="I265" s="1" t="s">
        <v>51</v>
      </c>
      <c r="J265" s="1" t="s">
        <v>59</v>
      </c>
    </row>
    <row r="266" spans="1:10" x14ac:dyDescent="0.25">
      <c r="A266" s="1">
        <v>265</v>
      </c>
      <c r="B266" s="1" t="s">
        <v>360</v>
      </c>
      <c r="C266" s="1" t="s">
        <v>47</v>
      </c>
      <c r="D266" s="1" t="s">
        <v>43</v>
      </c>
      <c r="E266" s="1" t="s">
        <v>55</v>
      </c>
      <c r="F266" s="1" t="s">
        <v>10</v>
      </c>
      <c r="G266" s="1" t="s">
        <v>2</v>
      </c>
      <c r="H266" s="1" t="s">
        <v>14</v>
      </c>
      <c r="I266" s="1" t="s">
        <v>18</v>
      </c>
      <c r="J266" s="1" t="s">
        <v>51</v>
      </c>
    </row>
    <row r="267" spans="1:10" x14ac:dyDescent="0.25">
      <c r="A267" s="1">
        <v>266</v>
      </c>
      <c r="B267" s="1" t="s">
        <v>361</v>
      </c>
      <c r="C267" s="1" t="s">
        <v>10</v>
      </c>
      <c r="D267" s="1" t="s">
        <v>55</v>
      </c>
      <c r="E267" s="1" t="s">
        <v>18</v>
      </c>
      <c r="F267" s="1" t="s">
        <v>14</v>
      </c>
      <c r="G267" s="1" t="s">
        <v>2</v>
      </c>
      <c r="H267" s="1" t="s">
        <v>22</v>
      </c>
      <c r="I267" s="1" t="s">
        <v>63</v>
      </c>
      <c r="J267" s="1" t="s">
        <v>59</v>
      </c>
    </row>
    <row r="268" spans="1:10" x14ac:dyDescent="0.25">
      <c r="A268" s="1">
        <v>267</v>
      </c>
      <c r="B268" s="1" t="s">
        <v>362</v>
      </c>
      <c r="C268" s="1" t="s">
        <v>10</v>
      </c>
      <c r="D268" s="1" t="s">
        <v>18</v>
      </c>
      <c r="E268" s="1" t="s">
        <v>51</v>
      </c>
      <c r="F268" s="1" t="s">
        <v>14</v>
      </c>
      <c r="G268" s="1" t="s">
        <v>2</v>
      </c>
      <c r="H268" s="1" t="s">
        <v>22</v>
      </c>
      <c r="I268" s="1" t="s">
        <v>63</v>
      </c>
      <c r="J268" s="1" t="s">
        <v>59</v>
      </c>
    </row>
    <row r="269" spans="1:10" x14ac:dyDescent="0.25">
      <c r="A269" s="1">
        <v>268</v>
      </c>
      <c r="B269" s="1" t="s">
        <v>363</v>
      </c>
      <c r="C269" s="1" t="s">
        <v>10</v>
      </c>
      <c r="D269" s="1" t="s">
        <v>55</v>
      </c>
      <c r="E269" s="1" t="s">
        <v>18</v>
      </c>
      <c r="F269" s="1" t="s">
        <v>14</v>
      </c>
      <c r="G269" s="1" t="s">
        <v>2</v>
      </c>
      <c r="H269" s="1" t="s">
        <v>22</v>
      </c>
      <c r="I269" s="1" t="s">
        <v>63</v>
      </c>
      <c r="J269" s="1" t="s">
        <v>51</v>
      </c>
    </row>
    <row r="270" spans="1:10" x14ac:dyDescent="0.25">
      <c r="A270" s="1">
        <v>269</v>
      </c>
      <c r="B270" s="1" t="s">
        <v>364</v>
      </c>
      <c r="C270" s="1" t="s">
        <v>10</v>
      </c>
      <c r="D270" s="1" t="s">
        <v>55</v>
      </c>
      <c r="E270" s="1" t="s">
        <v>18</v>
      </c>
      <c r="F270" s="1" t="s">
        <v>14</v>
      </c>
      <c r="G270" s="1" t="s">
        <v>2</v>
      </c>
      <c r="H270" s="1" t="s">
        <v>22</v>
      </c>
      <c r="I270" s="1" t="s">
        <v>51</v>
      </c>
      <c r="J270" s="1" t="s">
        <v>59</v>
      </c>
    </row>
    <row r="271" spans="1:10" x14ac:dyDescent="0.25">
      <c r="A271" s="1">
        <v>270</v>
      </c>
      <c r="B271" s="1" t="s">
        <v>365</v>
      </c>
      <c r="C271" s="1" t="s">
        <v>47</v>
      </c>
      <c r="D271" s="1" t="s">
        <v>18</v>
      </c>
      <c r="E271" s="1" t="s">
        <v>22</v>
      </c>
      <c r="F271" s="1" t="s">
        <v>10</v>
      </c>
      <c r="G271" s="1" t="s">
        <v>2</v>
      </c>
      <c r="H271" s="1" t="s">
        <v>14</v>
      </c>
      <c r="I271" s="1" t="s">
        <v>63</v>
      </c>
      <c r="J271" s="1" t="s">
        <v>59</v>
      </c>
    </row>
    <row r="272" spans="1:10" x14ac:dyDescent="0.25">
      <c r="A272" s="1">
        <v>271</v>
      </c>
      <c r="B272" s="1" t="s">
        <v>366</v>
      </c>
      <c r="C272" s="1" t="s">
        <v>47</v>
      </c>
      <c r="D272" s="1" t="s">
        <v>55</v>
      </c>
      <c r="E272" s="1" t="s">
        <v>22</v>
      </c>
      <c r="F272" s="1" t="s">
        <v>10</v>
      </c>
      <c r="G272" s="1" t="s">
        <v>2</v>
      </c>
      <c r="H272" s="1" t="s">
        <v>14</v>
      </c>
      <c r="I272" s="1" t="s">
        <v>63</v>
      </c>
      <c r="J272" s="1" t="s">
        <v>18</v>
      </c>
    </row>
    <row r="273" spans="1:10" x14ac:dyDescent="0.25">
      <c r="A273" s="1">
        <v>272</v>
      </c>
      <c r="B273" s="1" t="s">
        <v>367</v>
      </c>
      <c r="C273" s="1" t="s">
        <v>47</v>
      </c>
      <c r="D273" s="1" t="s">
        <v>55</v>
      </c>
      <c r="E273" s="1" t="s">
        <v>18</v>
      </c>
      <c r="F273" s="1" t="s">
        <v>10</v>
      </c>
      <c r="G273" s="1" t="s">
        <v>2</v>
      </c>
      <c r="H273" s="1" t="s">
        <v>22</v>
      </c>
      <c r="I273" s="1" t="s">
        <v>14</v>
      </c>
      <c r="J273" s="1" t="s">
        <v>59</v>
      </c>
    </row>
    <row r="274" spans="1:10" x14ac:dyDescent="0.25">
      <c r="A274" s="1">
        <v>273</v>
      </c>
      <c r="B274" s="1" t="s">
        <v>368</v>
      </c>
      <c r="C274" s="1" t="s">
        <v>47</v>
      </c>
      <c r="D274" s="1" t="s">
        <v>18</v>
      </c>
      <c r="E274" s="1" t="s">
        <v>22</v>
      </c>
      <c r="F274" s="1" t="s">
        <v>10</v>
      </c>
      <c r="G274" s="1" t="s">
        <v>2</v>
      </c>
      <c r="H274" s="1" t="s">
        <v>14</v>
      </c>
      <c r="I274" s="1" t="s">
        <v>63</v>
      </c>
      <c r="J274" s="1" t="s">
        <v>51</v>
      </c>
    </row>
    <row r="275" spans="1:10" x14ac:dyDescent="0.25">
      <c r="A275" s="1">
        <v>274</v>
      </c>
      <c r="B275" s="1" t="s">
        <v>369</v>
      </c>
      <c r="C275" s="1" t="s">
        <v>47</v>
      </c>
      <c r="D275" s="1" t="s">
        <v>18</v>
      </c>
      <c r="E275" s="1" t="s">
        <v>22</v>
      </c>
      <c r="F275" s="1" t="s">
        <v>10</v>
      </c>
      <c r="G275" s="1" t="s">
        <v>2</v>
      </c>
      <c r="H275" s="1" t="s">
        <v>14</v>
      </c>
      <c r="I275" s="1" t="s">
        <v>51</v>
      </c>
      <c r="J275" s="1" t="s">
        <v>59</v>
      </c>
    </row>
    <row r="276" spans="1:10" x14ac:dyDescent="0.25">
      <c r="A276" s="1">
        <v>275</v>
      </c>
      <c r="B276" s="1" t="s">
        <v>370</v>
      </c>
      <c r="C276" s="1" t="s">
        <v>47</v>
      </c>
      <c r="D276" s="1" t="s">
        <v>55</v>
      </c>
      <c r="E276" s="1" t="s">
        <v>18</v>
      </c>
      <c r="F276" s="1" t="s">
        <v>10</v>
      </c>
      <c r="G276" s="1" t="s">
        <v>2</v>
      </c>
      <c r="H276" s="1" t="s">
        <v>22</v>
      </c>
      <c r="I276" s="1" t="s">
        <v>14</v>
      </c>
      <c r="J276" s="1" t="s">
        <v>51</v>
      </c>
    </row>
    <row r="277" spans="1:10" x14ac:dyDescent="0.25">
      <c r="A277" s="1">
        <v>276</v>
      </c>
      <c r="B277" s="1" t="s">
        <v>371</v>
      </c>
      <c r="C277" s="1" t="s">
        <v>10</v>
      </c>
      <c r="D277" s="1" t="s">
        <v>43</v>
      </c>
      <c r="E277" s="1" t="s">
        <v>18</v>
      </c>
      <c r="F277" s="1" t="s">
        <v>14</v>
      </c>
      <c r="G277" s="1" t="s">
        <v>2</v>
      </c>
      <c r="H277" s="1" t="s">
        <v>22</v>
      </c>
      <c r="I277" s="1" t="s">
        <v>63</v>
      </c>
      <c r="J277" s="1" t="s">
        <v>59</v>
      </c>
    </row>
    <row r="278" spans="1:10" x14ac:dyDescent="0.25">
      <c r="A278" s="1">
        <v>277</v>
      </c>
      <c r="B278" s="1" t="s">
        <v>372</v>
      </c>
      <c r="C278" s="1" t="s">
        <v>10</v>
      </c>
      <c r="D278" s="1" t="s">
        <v>43</v>
      </c>
      <c r="E278" s="1" t="s">
        <v>55</v>
      </c>
      <c r="F278" s="1" t="s">
        <v>14</v>
      </c>
      <c r="G278" s="1" t="s">
        <v>2</v>
      </c>
      <c r="H278" s="1" t="s">
        <v>22</v>
      </c>
      <c r="I278" s="1" t="s">
        <v>63</v>
      </c>
      <c r="J278" s="1" t="s">
        <v>18</v>
      </c>
    </row>
    <row r="279" spans="1:10" x14ac:dyDescent="0.25">
      <c r="A279" s="1">
        <v>278</v>
      </c>
      <c r="B279" s="1" t="s">
        <v>373</v>
      </c>
      <c r="C279" s="1" t="s">
        <v>10</v>
      </c>
      <c r="D279" s="1" t="s">
        <v>43</v>
      </c>
      <c r="E279" s="1" t="s">
        <v>55</v>
      </c>
      <c r="F279" s="1" t="s">
        <v>14</v>
      </c>
      <c r="G279" s="1" t="s">
        <v>2</v>
      </c>
      <c r="H279" s="1" t="s">
        <v>22</v>
      </c>
      <c r="I279" s="1" t="s">
        <v>18</v>
      </c>
      <c r="J279" s="1" t="s">
        <v>59</v>
      </c>
    </row>
    <row r="280" spans="1:10" x14ac:dyDescent="0.25">
      <c r="A280" s="1">
        <v>279</v>
      </c>
      <c r="B280" s="1" t="s">
        <v>374</v>
      </c>
      <c r="C280" s="1" t="s">
        <v>10</v>
      </c>
      <c r="D280" s="1" t="s">
        <v>43</v>
      </c>
      <c r="E280" s="1" t="s">
        <v>18</v>
      </c>
      <c r="F280" s="1" t="s">
        <v>14</v>
      </c>
      <c r="G280" s="1" t="s">
        <v>2</v>
      </c>
      <c r="H280" s="1" t="s">
        <v>22</v>
      </c>
      <c r="I280" s="1" t="s">
        <v>63</v>
      </c>
      <c r="J280" s="1" t="s">
        <v>51</v>
      </c>
    </row>
    <row r="281" spans="1:10" x14ac:dyDescent="0.25">
      <c r="A281" s="1">
        <v>280</v>
      </c>
      <c r="B281" s="1" t="s">
        <v>375</v>
      </c>
      <c r="C281" s="1" t="s">
        <v>10</v>
      </c>
      <c r="D281" s="1" t="s">
        <v>43</v>
      </c>
      <c r="E281" s="1" t="s">
        <v>18</v>
      </c>
      <c r="F281" s="1" t="s">
        <v>14</v>
      </c>
      <c r="G281" s="1" t="s">
        <v>2</v>
      </c>
      <c r="H281" s="1" t="s">
        <v>22</v>
      </c>
      <c r="I281" s="1" t="s">
        <v>51</v>
      </c>
      <c r="J281" s="1" t="s">
        <v>59</v>
      </c>
    </row>
    <row r="282" spans="1:10" x14ac:dyDescent="0.25">
      <c r="A282" s="1">
        <v>281</v>
      </c>
      <c r="B282" s="1" t="s">
        <v>376</v>
      </c>
      <c r="C282" s="1" t="s">
        <v>10</v>
      </c>
      <c r="D282" s="1" t="s">
        <v>43</v>
      </c>
      <c r="E282" s="1" t="s">
        <v>55</v>
      </c>
      <c r="F282" s="1" t="s">
        <v>14</v>
      </c>
      <c r="G282" s="1" t="s">
        <v>2</v>
      </c>
      <c r="H282" s="1" t="s">
        <v>22</v>
      </c>
      <c r="I282" s="1" t="s">
        <v>18</v>
      </c>
      <c r="J282" s="1" t="s">
        <v>51</v>
      </c>
    </row>
    <row r="283" spans="1:10" x14ac:dyDescent="0.25">
      <c r="A283" s="1">
        <v>282</v>
      </c>
      <c r="B283" s="1" t="s">
        <v>377</v>
      </c>
      <c r="C283" s="1" t="s">
        <v>47</v>
      </c>
      <c r="D283" s="1" t="s">
        <v>43</v>
      </c>
      <c r="E283" s="1" t="s">
        <v>22</v>
      </c>
      <c r="F283" s="1" t="s">
        <v>10</v>
      </c>
      <c r="G283" s="1" t="s">
        <v>2</v>
      </c>
      <c r="H283" s="1" t="s">
        <v>14</v>
      </c>
      <c r="I283" s="1" t="s">
        <v>63</v>
      </c>
      <c r="J283" s="1" t="s">
        <v>18</v>
      </c>
    </row>
    <row r="284" spans="1:10" x14ac:dyDescent="0.25">
      <c r="A284" s="1">
        <v>283</v>
      </c>
      <c r="B284" s="1" t="s">
        <v>378</v>
      </c>
      <c r="C284" s="1" t="s">
        <v>47</v>
      </c>
      <c r="D284" s="1" t="s">
        <v>43</v>
      </c>
      <c r="E284" s="1" t="s">
        <v>18</v>
      </c>
      <c r="F284" s="1" t="s">
        <v>10</v>
      </c>
      <c r="G284" s="1" t="s">
        <v>2</v>
      </c>
      <c r="H284" s="1" t="s">
        <v>22</v>
      </c>
      <c r="I284" s="1" t="s">
        <v>14</v>
      </c>
      <c r="J284" s="1" t="s">
        <v>59</v>
      </c>
    </row>
    <row r="285" spans="1:10" x14ac:dyDescent="0.25">
      <c r="A285" s="1">
        <v>284</v>
      </c>
      <c r="B285" s="1" t="s">
        <v>379</v>
      </c>
      <c r="C285" s="1" t="s">
        <v>47</v>
      </c>
      <c r="D285" s="1" t="s">
        <v>43</v>
      </c>
      <c r="E285" s="1" t="s">
        <v>55</v>
      </c>
      <c r="F285" s="1" t="s">
        <v>10</v>
      </c>
      <c r="G285" s="1" t="s">
        <v>2</v>
      </c>
      <c r="H285" s="1" t="s">
        <v>22</v>
      </c>
      <c r="I285" s="1" t="s">
        <v>14</v>
      </c>
      <c r="J285" s="1" t="s">
        <v>18</v>
      </c>
    </row>
    <row r="286" spans="1:10" x14ac:dyDescent="0.25">
      <c r="A286" s="1">
        <v>285</v>
      </c>
      <c r="B286" s="1" t="s">
        <v>380</v>
      </c>
      <c r="C286" s="1" t="s">
        <v>47</v>
      </c>
      <c r="D286" s="1" t="s">
        <v>43</v>
      </c>
      <c r="E286" s="1" t="s">
        <v>18</v>
      </c>
      <c r="F286" s="1" t="s">
        <v>10</v>
      </c>
      <c r="G286" s="1" t="s">
        <v>2</v>
      </c>
      <c r="H286" s="1" t="s">
        <v>22</v>
      </c>
      <c r="I286" s="1" t="s">
        <v>14</v>
      </c>
      <c r="J286" s="1" t="s">
        <v>51</v>
      </c>
    </row>
    <row r="287" spans="1:10" x14ac:dyDescent="0.25">
      <c r="A287" s="1">
        <v>286</v>
      </c>
      <c r="B287" s="1" t="s">
        <v>381</v>
      </c>
      <c r="C287" s="1" t="s">
        <v>47</v>
      </c>
      <c r="D287" s="1" t="s">
        <v>55</v>
      </c>
      <c r="E287" s="1" t="s">
        <v>6</v>
      </c>
      <c r="F287" s="1" t="s">
        <v>2</v>
      </c>
      <c r="G287" s="1" t="s">
        <v>51</v>
      </c>
      <c r="H287" s="1" t="s">
        <v>43</v>
      </c>
      <c r="I287" s="1" t="s">
        <v>63</v>
      </c>
      <c r="J287" s="1" t="s">
        <v>59</v>
      </c>
    </row>
    <row r="288" spans="1:10" x14ac:dyDescent="0.25">
      <c r="A288" s="1">
        <v>287</v>
      </c>
      <c r="B288" s="1" t="s">
        <v>382</v>
      </c>
      <c r="C288" s="1" t="s">
        <v>47</v>
      </c>
      <c r="D288" s="1" t="s">
        <v>55</v>
      </c>
      <c r="E288" s="1" t="s">
        <v>6</v>
      </c>
      <c r="F288" s="1" t="s">
        <v>2</v>
      </c>
      <c r="G288" s="1" t="s">
        <v>51</v>
      </c>
      <c r="H288" s="1" t="s">
        <v>22</v>
      </c>
      <c r="I288" s="1" t="s">
        <v>63</v>
      </c>
      <c r="J288" s="1" t="s">
        <v>59</v>
      </c>
    </row>
    <row r="289" spans="1:10" x14ac:dyDescent="0.25">
      <c r="A289" s="1">
        <v>288</v>
      </c>
      <c r="B289" s="1" t="s">
        <v>383</v>
      </c>
      <c r="C289" s="1" t="s">
        <v>51</v>
      </c>
      <c r="D289" s="1" t="s">
        <v>55</v>
      </c>
      <c r="E289" s="1" t="s">
        <v>6</v>
      </c>
      <c r="F289" s="1" t="s">
        <v>22</v>
      </c>
      <c r="G289" s="1" t="s">
        <v>2</v>
      </c>
      <c r="H289" s="1" t="s">
        <v>43</v>
      </c>
      <c r="I289" s="1" t="s">
        <v>63</v>
      </c>
      <c r="J289" s="1" t="s">
        <v>59</v>
      </c>
    </row>
    <row r="290" spans="1:10" x14ac:dyDescent="0.25">
      <c r="A290" s="1">
        <v>289</v>
      </c>
      <c r="B290" s="1" t="s">
        <v>384</v>
      </c>
      <c r="C290" s="1" t="s">
        <v>47</v>
      </c>
      <c r="D290" s="1" t="s">
        <v>55</v>
      </c>
      <c r="E290" s="1" t="s">
        <v>6</v>
      </c>
      <c r="F290" s="1" t="s">
        <v>22</v>
      </c>
      <c r="G290" s="1" t="s">
        <v>2</v>
      </c>
      <c r="H290" s="1" t="s">
        <v>43</v>
      </c>
      <c r="I290" s="1" t="s">
        <v>63</v>
      </c>
      <c r="J290" s="1" t="s">
        <v>59</v>
      </c>
    </row>
    <row r="291" spans="1:10" x14ac:dyDescent="0.25">
      <c r="A291" s="1">
        <v>290</v>
      </c>
      <c r="B291" s="1" t="s">
        <v>385</v>
      </c>
      <c r="C291" s="1" t="s">
        <v>47</v>
      </c>
      <c r="D291" s="1" t="s">
        <v>43</v>
      </c>
      <c r="E291" s="1" t="s">
        <v>6</v>
      </c>
      <c r="F291" s="1" t="s">
        <v>2</v>
      </c>
      <c r="G291" s="1" t="s">
        <v>51</v>
      </c>
      <c r="H291" s="1" t="s">
        <v>22</v>
      </c>
      <c r="I291" s="1" t="s">
        <v>63</v>
      </c>
      <c r="J291" s="1" t="s">
        <v>59</v>
      </c>
    </row>
    <row r="292" spans="1:10" x14ac:dyDescent="0.25">
      <c r="A292" s="1">
        <v>291</v>
      </c>
      <c r="B292" s="1" t="s">
        <v>386</v>
      </c>
      <c r="C292" s="1" t="s">
        <v>47</v>
      </c>
      <c r="D292" s="1" t="s">
        <v>55</v>
      </c>
      <c r="E292" s="1" t="s">
        <v>6</v>
      </c>
      <c r="F292" s="1" t="s">
        <v>22</v>
      </c>
      <c r="G292" s="1" t="s">
        <v>2</v>
      </c>
      <c r="H292" s="1" t="s">
        <v>43</v>
      </c>
      <c r="I292" s="1" t="s">
        <v>63</v>
      </c>
      <c r="J292" s="1" t="s">
        <v>51</v>
      </c>
    </row>
    <row r="293" spans="1:10" x14ac:dyDescent="0.25">
      <c r="A293" s="1">
        <v>292</v>
      </c>
      <c r="B293" s="1" t="s">
        <v>387</v>
      </c>
      <c r="C293" s="1" t="s">
        <v>47</v>
      </c>
      <c r="D293" s="1" t="s">
        <v>55</v>
      </c>
      <c r="E293" s="1" t="s">
        <v>6</v>
      </c>
      <c r="F293" s="1" t="s">
        <v>22</v>
      </c>
      <c r="G293" s="1" t="s">
        <v>2</v>
      </c>
      <c r="H293" s="1" t="s">
        <v>43</v>
      </c>
      <c r="I293" s="1" t="s">
        <v>51</v>
      </c>
      <c r="J293" s="1" t="s">
        <v>59</v>
      </c>
    </row>
    <row r="294" spans="1:10" x14ac:dyDescent="0.25">
      <c r="A294" s="1">
        <v>293</v>
      </c>
      <c r="B294" s="1" t="s">
        <v>388</v>
      </c>
      <c r="C294" s="1" t="s">
        <v>18</v>
      </c>
      <c r="D294" s="1" t="s">
        <v>55</v>
      </c>
      <c r="E294" s="1" t="s">
        <v>6</v>
      </c>
      <c r="F294" s="1" t="s">
        <v>2</v>
      </c>
      <c r="G294" s="1" t="s">
        <v>51</v>
      </c>
      <c r="H294" s="1" t="s">
        <v>47</v>
      </c>
      <c r="I294" s="1" t="s">
        <v>63</v>
      </c>
      <c r="J294" s="1" t="s">
        <v>59</v>
      </c>
    </row>
    <row r="295" spans="1:10" x14ac:dyDescent="0.25">
      <c r="A295" s="1">
        <v>294</v>
      </c>
      <c r="B295" s="1" t="s">
        <v>389</v>
      </c>
      <c r="C295" s="1" t="s">
        <v>18</v>
      </c>
      <c r="D295" s="1" t="s">
        <v>55</v>
      </c>
      <c r="E295" s="1" t="s">
        <v>6</v>
      </c>
      <c r="F295" s="1" t="s">
        <v>2</v>
      </c>
      <c r="G295" s="1" t="s">
        <v>51</v>
      </c>
      <c r="H295" s="1" t="s">
        <v>43</v>
      </c>
      <c r="I295" s="1" t="s">
        <v>63</v>
      </c>
      <c r="J295" s="1" t="s">
        <v>59</v>
      </c>
    </row>
    <row r="296" spans="1:10" x14ac:dyDescent="0.25">
      <c r="A296" s="1">
        <v>295</v>
      </c>
      <c r="B296" s="1" t="s">
        <v>390</v>
      </c>
      <c r="C296" s="1" t="s">
        <v>18</v>
      </c>
      <c r="D296" s="1" t="s">
        <v>55</v>
      </c>
      <c r="E296" s="1" t="s">
        <v>6</v>
      </c>
      <c r="F296" s="1" t="s">
        <v>2</v>
      </c>
      <c r="G296" s="1" t="s">
        <v>47</v>
      </c>
      <c r="H296" s="1" t="s">
        <v>43</v>
      </c>
      <c r="I296" s="1" t="s">
        <v>63</v>
      </c>
      <c r="J296" s="1" t="s">
        <v>59</v>
      </c>
    </row>
    <row r="297" spans="1:10" x14ac:dyDescent="0.25">
      <c r="A297" s="1">
        <v>296</v>
      </c>
      <c r="B297" s="1" t="s">
        <v>391</v>
      </c>
      <c r="C297" s="1" t="s">
        <v>18</v>
      </c>
      <c r="D297" s="1" t="s">
        <v>43</v>
      </c>
      <c r="E297" s="1" t="s">
        <v>6</v>
      </c>
      <c r="F297" s="1" t="s">
        <v>2</v>
      </c>
      <c r="G297" s="1" t="s">
        <v>51</v>
      </c>
      <c r="H297" s="1" t="s">
        <v>47</v>
      </c>
      <c r="I297" s="1" t="s">
        <v>63</v>
      </c>
      <c r="J297" s="1" t="s">
        <v>59</v>
      </c>
    </row>
    <row r="298" spans="1:10" x14ac:dyDescent="0.25">
      <c r="A298" s="1">
        <v>297</v>
      </c>
      <c r="B298" s="1" t="s">
        <v>392</v>
      </c>
      <c r="C298" s="1" t="s">
        <v>18</v>
      </c>
      <c r="D298" s="1" t="s">
        <v>55</v>
      </c>
      <c r="E298" s="1" t="s">
        <v>6</v>
      </c>
      <c r="F298" s="1" t="s">
        <v>2</v>
      </c>
      <c r="G298" s="1" t="s">
        <v>47</v>
      </c>
      <c r="H298" s="1" t="s">
        <v>43</v>
      </c>
      <c r="I298" s="1" t="s">
        <v>63</v>
      </c>
      <c r="J298" s="1" t="s">
        <v>51</v>
      </c>
    </row>
    <row r="299" spans="1:10" x14ac:dyDescent="0.25">
      <c r="A299" s="1">
        <v>298</v>
      </c>
      <c r="B299" s="1" t="s">
        <v>393</v>
      </c>
      <c r="C299" s="1" t="s">
        <v>18</v>
      </c>
      <c r="D299" s="1" t="s">
        <v>55</v>
      </c>
      <c r="E299" s="1" t="s">
        <v>6</v>
      </c>
      <c r="F299" s="1" t="s">
        <v>2</v>
      </c>
      <c r="G299" s="1" t="s">
        <v>47</v>
      </c>
      <c r="H299" s="1" t="s">
        <v>43</v>
      </c>
      <c r="I299" s="1" t="s">
        <v>51</v>
      </c>
      <c r="J299" s="1" t="s">
        <v>59</v>
      </c>
    </row>
    <row r="300" spans="1:10" x14ac:dyDescent="0.25">
      <c r="A300" s="1">
        <v>299</v>
      </c>
      <c r="B300" s="1" t="s">
        <v>394</v>
      </c>
      <c r="C300" s="1" t="s">
        <v>18</v>
      </c>
      <c r="D300" s="1" t="s">
        <v>55</v>
      </c>
      <c r="E300" s="1" t="s">
        <v>6</v>
      </c>
      <c r="F300" s="1" t="s">
        <v>2</v>
      </c>
      <c r="G300" s="1" t="s">
        <v>51</v>
      </c>
      <c r="H300" s="1" t="s">
        <v>22</v>
      </c>
      <c r="I300" s="1" t="s">
        <v>63</v>
      </c>
      <c r="J300" s="1" t="s">
        <v>59</v>
      </c>
    </row>
    <row r="301" spans="1:10" x14ac:dyDescent="0.25">
      <c r="A301" s="1">
        <v>300</v>
      </c>
      <c r="B301" s="1" t="s">
        <v>395</v>
      </c>
      <c r="C301" s="1" t="s">
        <v>18</v>
      </c>
      <c r="D301" s="1" t="s">
        <v>55</v>
      </c>
      <c r="E301" s="1" t="s">
        <v>6</v>
      </c>
      <c r="F301" s="1" t="s">
        <v>22</v>
      </c>
      <c r="G301" s="1" t="s">
        <v>2</v>
      </c>
      <c r="H301" s="1" t="s">
        <v>47</v>
      </c>
      <c r="I301" s="1" t="s">
        <v>63</v>
      </c>
      <c r="J301" s="1" t="s">
        <v>59</v>
      </c>
    </row>
    <row r="302" spans="1:10" x14ac:dyDescent="0.25">
      <c r="A302" s="1">
        <v>301</v>
      </c>
      <c r="B302" s="1" t="s">
        <v>396</v>
      </c>
      <c r="C302" s="1" t="s">
        <v>18</v>
      </c>
      <c r="D302" s="1" t="s">
        <v>51</v>
      </c>
      <c r="E302" s="1" t="s">
        <v>6</v>
      </c>
      <c r="F302" s="1" t="s">
        <v>22</v>
      </c>
      <c r="G302" s="1" t="s">
        <v>2</v>
      </c>
      <c r="H302" s="1" t="s">
        <v>47</v>
      </c>
      <c r="I302" s="1" t="s">
        <v>63</v>
      </c>
      <c r="J302" s="1" t="s">
        <v>59</v>
      </c>
    </row>
    <row r="303" spans="1:10" x14ac:dyDescent="0.25">
      <c r="A303" s="1">
        <v>302</v>
      </c>
      <c r="B303" s="1" t="s">
        <v>397</v>
      </c>
      <c r="C303" s="1" t="s">
        <v>18</v>
      </c>
      <c r="D303" s="1" t="s">
        <v>55</v>
      </c>
      <c r="E303" s="1" t="s">
        <v>6</v>
      </c>
      <c r="F303" s="1" t="s">
        <v>22</v>
      </c>
      <c r="G303" s="1" t="s">
        <v>2</v>
      </c>
      <c r="H303" s="1" t="s">
        <v>47</v>
      </c>
      <c r="I303" s="1" t="s">
        <v>63</v>
      </c>
      <c r="J303" s="1" t="s">
        <v>51</v>
      </c>
    </row>
    <row r="304" spans="1:10" x14ac:dyDescent="0.25">
      <c r="A304" s="1">
        <v>303</v>
      </c>
      <c r="B304" s="1" t="s">
        <v>398</v>
      </c>
      <c r="C304" s="1" t="s">
        <v>18</v>
      </c>
      <c r="D304" s="1" t="s">
        <v>55</v>
      </c>
      <c r="E304" s="1" t="s">
        <v>6</v>
      </c>
      <c r="F304" s="1" t="s">
        <v>22</v>
      </c>
      <c r="G304" s="1" t="s">
        <v>2</v>
      </c>
      <c r="H304" s="1" t="s">
        <v>47</v>
      </c>
      <c r="I304" s="1" t="s">
        <v>51</v>
      </c>
      <c r="J304" s="1" t="s">
        <v>59</v>
      </c>
    </row>
    <row r="305" spans="1:10" x14ac:dyDescent="0.25">
      <c r="A305" s="1">
        <v>304</v>
      </c>
      <c r="B305" s="1" t="s">
        <v>399</v>
      </c>
      <c r="C305" s="1" t="s">
        <v>18</v>
      </c>
      <c r="D305" s="1" t="s">
        <v>55</v>
      </c>
      <c r="E305" s="1" t="s">
        <v>6</v>
      </c>
      <c r="F305" s="1" t="s">
        <v>22</v>
      </c>
      <c r="G305" s="1" t="s">
        <v>2</v>
      </c>
      <c r="H305" s="1" t="s">
        <v>43</v>
      </c>
      <c r="I305" s="1" t="s">
        <v>63</v>
      </c>
      <c r="J305" s="1" t="s">
        <v>59</v>
      </c>
    </row>
    <row r="306" spans="1:10" x14ac:dyDescent="0.25">
      <c r="A306" s="1">
        <v>305</v>
      </c>
      <c r="B306" s="1" t="s">
        <v>400</v>
      </c>
      <c r="C306" s="1" t="s">
        <v>18</v>
      </c>
      <c r="D306" s="1" t="s">
        <v>43</v>
      </c>
      <c r="E306" s="1" t="s">
        <v>6</v>
      </c>
      <c r="F306" s="1" t="s">
        <v>2</v>
      </c>
      <c r="G306" s="1" t="s">
        <v>51</v>
      </c>
      <c r="H306" s="1" t="s">
        <v>22</v>
      </c>
      <c r="I306" s="1" t="s">
        <v>63</v>
      </c>
      <c r="J306" s="1" t="s">
        <v>59</v>
      </c>
    </row>
    <row r="307" spans="1:10" x14ac:dyDescent="0.25">
      <c r="A307" s="1">
        <v>306</v>
      </c>
      <c r="B307" s="1" t="s">
        <v>401</v>
      </c>
      <c r="C307" s="1" t="s">
        <v>18</v>
      </c>
      <c r="D307" s="1" t="s">
        <v>55</v>
      </c>
      <c r="E307" s="1" t="s">
        <v>6</v>
      </c>
      <c r="F307" s="1" t="s">
        <v>22</v>
      </c>
      <c r="G307" s="1" t="s">
        <v>2</v>
      </c>
      <c r="H307" s="1" t="s">
        <v>43</v>
      </c>
      <c r="I307" s="1" t="s">
        <v>63</v>
      </c>
      <c r="J307" s="1" t="s">
        <v>51</v>
      </c>
    </row>
    <row r="308" spans="1:10" x14ac:dyDescent="0.25">
      <c r="A308" s="1">
        <v>307</v>
      </c>
      <c r="B308" s="1" t="s">
        <v>402</v>
      </c>
      <c r="C308" s="1" t="s">
        <v>18</v>
      </c>
      <c r="D308" s="1" t="s">
        <v>55</v>
      </c>
      <c r="E308" s="1" t="s">
        <v>6</v>
      </c>
      <c r="F308" s="1" t="s">
        <v>22</v>
      </c>
      <c r="G308" s="1" t="s">
        <v>2</v>
      </c>
      <c r="H308" s="1" t="s">
        <v>43</v>
      </c>
      <c r="I308" s="1" t="s">
        <v>51</v>
      </c>
      <c r="J308" s="1" t="s">
        <v>59</v>
      </c>
    </row>
    <row r="309" spans="1:10" x14ac:dyDescent="0.25">
      <c r="A309" s="1">
        <v>308</v>
      </c>
      <c r="B309" s="1" t="s">
        <v>403</v>
      </c>
      <c r="C309" s="1" t="s">
        <v>18</v>
      </c>
      <c r="D309" s="1" t="s">
        <v>43</v>
      </c>
      <c r="E309" s="1" t="s">
        <v>6</v>
      </c>
      <c r="F309" s="1" t="s">
        <v>22</v>
      </c>
      <c r="G309" s="1" t="s">
        <v>2</v>
      </c>
      <c r="H309" s="1" t="s">
        <v>47</v>
      </c>
      <c r="I309" s="1" t="s">
        <v>63</v>
      </c>
      <c r="J309" s="1" t="s">
        <v>59</v>
      </c>
    </row>
    <row r="310" spans="1:10" x14ac:dyDescent="0.25">
      <c r="A310" s="1">
        <v>309</v>
      </c>
      <c r="B310" s="1" t="s">
        <v>404</v>
      </c>
      <c r="C310" s="1" t="s">
        <v>47</v>
      </c>
      <c r="D310" s="1" t="s">
        <v>55</v>
      </c>
      <c r="E310" s="1" t="s">
        <v>6</v>
      </c>
      <c r="F310" s="1" t="s">
        <v>22</v>
      </c>
      <c r="G310" s="1" t="s">
        <v>2</v>
      </c>
      <c r="H310" s="1" t="s">
        <v>43</v>
      </c>
      <c r="I310" s="1" t="s">
        <v>63</v>
      </c>
      <c r="J310" s="1" t="s">
        <v>18</v>
      </c>
    </row>
    <row r="311" spans="1:10" x14ac:dyDescent="0.25">
      <c r="A311" s="1">
        <v>310</v>
      </c>
      <c r="B311" s="1" t="s">
        <v>405</v>
      </c>
      <c r="C311" s="1" t="s">
        <v>47</v>
      </c>
      <c r="D311" s="1" t="s">
        <v>55</v>
      </c>
      <c r="E311" s="1" t="s">
        <v>6</v>
      </c>
      <c r="F311" s="1" t="s">
        <v>22</v>
      </c>
      <c r="G311" s="1" t="s">
        <v>2</v>
      </c>
      <c r="H311" s="1" t="s">
        <v>43</v>
      </c>
      <c r="I311" s="1" t="s">
        <v>18</v>
      </c>
      <c r="J311" s="1" t="s">
        <v>59</v>
      </c>
    </row>
    <row r="312" spans="1:10" x14ac:dyDescent="0.25">
      <c r="A312" s="1">
        <v>311</v>
      </c>
      <c r="B312" s="1" t="s">
        <v>406</v>
      </c>
      <c r="C312" s="1" t="s">
        <v>18</v>
      </c>
      <c r="D312" s="1" t="s">
        <v>43</v>
      </c>
      <c r="E312" s="1" t="s">
        <v>6</v>
      </c>
      <c r="F312" s="1" t="s">
        <v>22</v>
      </c>
      <c r="G312" s="1" t="s">
        <v>2</v>
      </c>
      <c r="H312" s="1" t="s">
        <v>47</v>
      </c>
      <c r="I312" s="1" t="s">
        <v>63</v>
      </c>
      <c r="J312" s="1" t="s">
        <v>51</v>
      </c>
    </row>
    <row r="313" spans="1:10" x14ac:dyDescent="0.25">
      <c r="A313" s="1">
        <v>312</v>
      </c>
      <c r="B313" s="1" t="s">
        <v>407</v>
      </c>
      <c r="C313" s="1" t="s">
        <v>18</v>
      </c>
      <c r="D313" s="1" t="s">
        <v>43</v>
      </c>
      <c r="E313" s="1" t="s">
        <v>6</v>
      </c>
      <c r="F313" s="1" t="s">
        <v>22</v>
      </c>
      <c r="G313" s="1" t="s">
        <v>2</v>
      </c>
      <c r="H313" s="1" t="s">
        <v>47</v>
      </c>
      <c r="I313" s="1" t="s">
        <v>51</v>
      </c>
      <c r="J313" s="1" t="s">
        <v>59</v>
      </c>
    </row>
    <row r="314" spans="1:10" x14ac:dyDescent="0.25">
      <c r="A314" s="1">
        <v>313</v>
      </c>
      <c r="B314" s="1" t="s">
        <v>408</v>
      </c>
      <c r="C314" s="1" t="s">
        <v>47</v>
      </c>
      <c r="D314" s="1" t="s">
        <v>55</v>
      </c>
      <c r="E314" s="1" t="s">
        <v>6</v>
      </c>
      <c r="F314" s="1" t="s">
        <v>22</v>
      </c>
      <c r="G314" s="1" t="s">
        <v>2</v>
      </c>
      <c r="H314" s="1" t="s">
        <v>43</v>
      </c>
      <c r="I314" s="1" t="s">
        <v>18</v>
      </c>
      <c r="J314" s="1" t="s">
        <v>51</v>
      </c>
    </row>
    <row r="315" spans="1:10" x14ac:dyDescent="0.25">
      <c r="A315" s="1">
        <v>314</v>
      </c>
      <c r="B315" s="1" t="s">
        <v>409</v>
      </c>
      <c r="C315" s="1" t="s">
        <v>51</v>
      </c>
      <c r="D315" s="1" t="s">
        <v>55</v>
      </c>
      <c r="E315" s="1" t="s">
        <v>6</v>
      </c>
      <c r="F315" s="1" t="s">
        <v>14</v>
      </c>
      <c r="G315" s="1" t="s">
        <v>2</v>
      </c>
      <c r="H315" s="1" t="s">
        <v>47</v>
      </c>
      <c r="I315" s="1" t="s">
        <v>63</v>
      </c>
      <c r="J315" s="1" t="s">
        <v>59</v>
      </c>
    </row>
    <row r="316" spans="1:10" x14ac:dyDescent="0.25">
      <c r="A316" s="1">
        <v>315</v>
      </c>
      <c r="B316" s="1" t="s">
        <v>410</v>
      </c>
      <c r="C316" s="1" t="s">
        <v>51</v>
      </c>
      <c r="D316" s="1" t="s">
        <v>55</v>
      </c>
      <c r="E316" s="1" t="s">
        <v>6</v>
      </c>
      <c r="F316" s="1" t="s">
        <v>14</v>
      </c>
      <c r="G316" s="1" t="s">
        <v>2</v>
      </c>
      <c r="H316" s="1" t="s">
        <v>43</v>
      </c>
      <c r="I316" s="1" t="s">
        <v>63</v>
      </c>
      <c r="J316" s="1" t="s">
        <v>59</v>
      </c>
    </row>
    <row r="317" spans="1:10" x14ac:dyDescent="0.25">
      <c r="A317" s="1">
        <v>316</v>
      </c>
      <c r="B317" s="1" t="s">
        <v>411</v>
      </c>
      <c r="C317" s="1" t="s">
        <v>47</v>
      </c>
      <c r="D317" s="1" t="s">
        <v>55</v>
      </c>
      <c r="E317" s="1" t="s">
        <v>6</v>
      </c>
      <c r="F317" s="1" t="s">
        <v>14</v>
      </c>
      <c r="G317" s="1" t="s">
        <v>2</v>
      </c>
      <c r="H317" s="1" t="s">
        <v>43</v>
      </c>
      <c r="I317" s="1" t="s">
        <v>63</v>
      </c>
      <c r="J317" s="1" t="s">
        <v>59</v>
      </c>
    </row>
    <row r="318" spans="1:10" x14ac:dyDescent="0.25">
      <c r="A318" s="1">
        <v>317</v>
      </c>
      <c r="B318" s="1" t="s">
        <v>412</v>
      </c>
      <c r="C318" s="1" t="s">
        <v>51</v>
      </c>
      <c r="D318" s="1" t="s">
        <v>43</v>
      </c>
      <c r="E318" s="1" t="s">
        <v>6</v>
      </c>
      <c r="F318" s="1" t="s">
        <v>14</v>
      </c>
      <c r="G318" s="1" t="s">
        <v>2</v>
      </c>
      <c r="H318" s="1" t="s">
        <v>47</v>
      </c>
      <c r="I318" s="1" t="s">
        <v>63</v>
      </c>
      <c r="J318" s="1" t="s">
        <v>59</v>
      </c>
    </row>
    <row r="319" spans="1:10" x14ac:dyDescent="0.25">
      <c r="A319" s="1">
        <v>318</v>
      </c>
      <c r="B319" s="1" t="s">
        <v>413</v>
      </c>
      <c r="C319" s="1" t="s">
        <v>47</v>
      </c>
      <c r="D319" s="1" t="s">
        <v>55</v>
      </c>
      <c r="E319" s="1" t="s">
        <v>6</v>
      </c>
      <c r="F319" s="1" t="s">
        <v>14</v>
      </c>
      <c r="G319" s="1" t="s">
        <v>2</v>
      </c>
      <c r="H319" s="1" t="s">
        <v>43</v>
      </c>
      <c r="I319" s="1" t="s">
        <v>63</v>
      </c>
      <c r="J319" s="1" t="s">
        <v>51</v>
      </c>
    </row>
    <row r="320" spans="1:10" x14ac:dyDescent="0.25">
      <c r="A320" s="1">
        <v>319</v>
      </c>
      <c r="B320" s="1" t="s">
        <v>414</v>
      </c>
      <c r="C320" s="1" t="s">
        <v>47</v>
      </c>
      <c r="D320" s="1" t="s">
        <v>55</v>
      </c>
      <c r="E320" s="1" t="s">
        <v>6</v>
      </c>
      <c r="F320" s="1" t="s">
        <v>14</v>
      </c>
      <c r="G320" s="1" t="s">
        <v>2</v>
      </c>
      <c r="H320" s="1" t="s">
        <v>43</v>
      </c>
      <c r="I320" s="1" t="s">
        <v>51</v>
      </c>
      <c r="J320" s="1" t="s">
        <v>59</v>
      </c>
    </row>
    <row r="321" spans="1:10" x14ac:dyDescent="0.25">
      <c r="A321" s="1">
        <v>320</v>
      </c>
      <c r="B321" s="1" t="s">
        <v>415</v>
      </c>
      <c r="C321" s="1" t="s">
        <v>51</v>
      </c>
      <c r="D321" s="1" t="s">
        <v>55</v>
      </c>
      <c r="E321" s="1" t="s">
        <v>6</v>
      </c>
      <c r="F321" s="1" t="s">
        <v>14</v>
      </c>
      <c r="G321" s="1" t="s">
        <v>2</v>
      </c>
      <c r="H321" s="1" t="s">
        <v>22</v>
      </c>
      <c r="I321" s="1" t="s">
        <v>63</v>
      </c>
      <c r="J321" s="1" t="s">
        <v>59</v>
      </c>
    </row>
    <row r="322" spans="1:10" x14ac:dyDescent="0.25">
      <c r="A322" s="1">
        <v>321</v>
      </c>
      <c r="B322" s="1" t="s">
        <v>416</v>
      </c>
      <c r="C322" s="1" t="s">
        <v>47</v>
      </c>
      <c r="D322" s="1" t="s">
        <v>55</v>
      </c>
      <c r="E322" s="1" t="s">
        <v>6</v>
      </c>
      <c r="F322" s="1" t="s">
        <v>14</v>
      </c>
      <c r="G322" s="1" t="s">
        <v>2</v>
      </c>
      <c r="H322" s="1" t="s">
        <v>22</v>
      </c>
      <c r="I322" s="1" t="s">
        <v>63</v>
      </c>
      <c r="J322" s="1" t="s">
        <v>59</v>
      </c>
    </row>
    <row r="323" spans="1:10" x14ac:dyDescent="0.25">
      <c r="A323" s="1">
        <v>322</v>
      </c>
      <c r="B323" s="1" t="s">
        <v>417</v>
      </c>
      <c r="C323" s="1" t="s">
        <v>47</v>
      </c>
      <c r="D323" s="1" t="s">
        <v>51</v>
      </c>
      <c r="E323" s="1" t="s">
        <v>6</v>
      </c>
      <c r="F323" s="1" t="s">
        <v>14</v>
      </c>
      <c r="G323" s="1" t="s">
        <v>2</v>
      </c>
      <c r="H323" s="1" t="s">
        <v>22</v>
      </c>
      <c r="I323" s="1" t="s">
        <v>63</v>
      </c>
      <c r="J323" s="1" t="s">
        <v>59</v>
      </c>
    </row>
    <row r="324" spans="1:10" x14ac:dyDescent="0.25">
      <c r="A324" s="1">
        <v>323</v>
      </c>
      <c r="B324" s="1" t="s">
        <v>418</v>
      </c>
      <c r="C324" s="1" t="s">
        <v>47</v>
      </c>
      <c r="D324" s="1" t="s">
        <v>55</v>
      </c>
      <c r="E324" s="1" t="s">
        <v>6</v>
      </c>
      <c r="F324" s="1" t="s">
        <v>14</v>
      </c>
      <c r="G324" s="1" t="s">
        <v>2</v>
      </c>
      <c r="H324" s="1" t="s">
        <v>22</v>
      </c>
      <c r="I324" s="1" t="s">
        <v>63</v>
      </c>
      <c r="J324" s="1" t="s">
        <v>51</v>
      </c>
    </row>
    <row r="325" spans="1:10" x14ac:dyDescent="0.25">
      <c r="A325" s="1">
        <v>324</v>
      </c>
      <c r="B325" s="1" t="s">
        <v>419</v>
      </c>
      <c r="C325" s="1" t="s">
        <v>47</v>
      </c>
      <c r="D325" s="1" t="s">
        <v>55</v>
      </c>
      <c r="E325" s="1" t="s">
        <v>6</v>
      </c>
      <c r="F325" s="1" t="s">
        <v>14</v>
      </c>
      <c r="G325" s="1" t="s">
        <v>2</v>
      </c>
      <c r="H325" s="1" t="s">
        <v>22</v>
      </c>
      <c r="I325" s="1" t="s">
        <v>51</v>
      </c>
      <c r="J325" s="1" t="s">
        <v>59</v>
      </c>
    </row>
    <row r="326" spans="1:10" x14ac:dyDescent="0.25">
      <c r="A326" s="1">
        <v>325</v>
      </c>
      <c r="B326" s="1" t="s">
        <v>420</v>
      </c>
      <c r="C326" s="1" t="s">
        <v>22</v>
      </c>
      <c r="D326" s="1" t="s">
        <v>55</v>
      </c>
      <c r="E326" s="1" t="s">
        <v>6</v>
      </c>
      <c r="F326" s="1" t="s">
        <v>14</v>
      </c>
      <c r="G326" s="1" t="s">
        <v>2</v>
      </c>
      <c r="H326" s="1" t="s">
        <v>43</v>
      </c>
      <c r="I326" s="1" t="s">
        <v>63</v>
      </c>
      <c r="J326" s="1" t="s">
        <v>59</v>
      </c>
    </row>
    <row r="327" spans="1:10" x14ac:dyDescent="0.25">
      <c r="A327" s="1">
        <v>326</v>
      </c>
      <c r="B327" s="1" t="s">
        <v>421</v>
      </c>
      <c r="C327" s="1" t="s">
        <v>51</v>
      </c>
      <c r="D327" s="1" t="s">
        <v>43</v>
      </c>
      <c r="E327" s="1" t="s">
        <v>6</v>
      </c>
      <c r="F327" s="1" t="s">
        <v>14</v>
      </c>
      <c r="G327" s="1" t="s">
        <v>2</v>
      </c>
      <c r="H327" s="1" t="s">
        <v>22</v>
      </c>
      <c r="I327" s="1" t="s">
        <v>63</v>
      </c>
      <c r="J327" s="1" t="s">
        <v>59</v>
      </c>
    </row>
    <row r="328" spans="1:10" x14ac:dyDescent="0.25">
      <c r="A328" s="1">
        <v>327</v>
      </c>
      <c r="B328" s="1" t="s">
        <v>422</v>
      </c>
      <c r="C328" s="1" t="s">
        <v>22</v>
      </c>
      <c r="D328" s="1" t="s">
        <v>55</v>
      </c>
      <c r="E328" s="1" t="s">
        <v>6</v>
      </c>
      <c r="F328" s="1" t="s">
        <v>14</v>
      </c>
      <c r="G328" s="1" t="s">
        <v>2</v>
      </c>
      <c r="H328" s="1" t="s">
        <v>43</v>
      </c>
      <c r="I328" s="1" t="s">
        <v>63</v>
      </c>
      <c r="J328" s="1" t="s">
        <v>51</v>
      </c>
    </row>
    <row r="329" spans="1:10" x14ac:dyDescent="0.25">
      <c r="A329" s="1">
        <v>328</v>
      </c>
      <c r="B329" s="1" t="s">
        <v>423</v>
      </c>
      <c r="C329" s="1" t="s">
        <v>22</v>
      </c>
      <c r="D329" s="1" t="s">
        <v>55</v>
      </c>
      <c r="E329" s="1" t="s">
        <v>6</v>
      </c>
      <c r="F329" s="1" t="s">
        <v>14</v>
      </c>
      <c r="G329" s="1" t="s">
        <v>2</v>
      </c>
      <c r="H329" s="1" t="s">
        <v>43</v>
      </c>
      <c r="I329" s="1" t="s">
        <v>51</v>
      </c>
      <c r="J329" s="1" t="s">
        <v>59</v>
      </c>
    </row>
    <row r="330" spans="1:10" x14ac:dyDescent="0.25">
      <c r="A330" s="1">
        <v>329</v>
      </c>
      <c r="B330" s="1" t="s">
        <v>424</v>
      </c>
      <c r="C330" s="1" t="s">
        <v>47</v>
      </c>
      <c r="D330" s="1" t="s">
        <v>43</v>
      </c>
      <c r="E330" s="1" t="s">
        <v>6</v>
      </c>
      <c r="F330" s="1" t="s">
        <v>14</v>
      </c>
      <c r="G330" s="1" t="s">
        <v>2</v>
      </c>
      <c r="H330" s="1" t="s">
        <v>22</v>
      </c>
      <c r="I330" s="1" t="s">
        <v>63</v>
      </c>
      <c r="J330" s="1" t="s">
        <v>59</v>
      </c>
    </row>
    <row r="331" spans="1:10" x14ac:dyDescent="0.25">
      <c r="A331" s="1">
        <v>330</v>
      </c>
      <c r="B331" s="1" t="s">
        <v>425</v>
      </c>
      <c r="C331" s="1" t="s">
        <v>47</v>
      </c>
      <c r="D331" s="1" t="s">
        <v>43</v>
      </c>
      <c r="E331" s="1" t="s">
        <v>6</v>
      </c>
      <c r="F331" s="1" t="s">
        <v>14</v>
      </c>
      <c r="G331" s="1" t="s">
        <v>2</v>
      </c>
      <c r="H331" s="1" t="s">
        <v>22</v>
      </c>
      <c r="I331" s="1" t="s">
        <v>63</v>
      </c>
      <c r="J331" s="1" t="s">
        <v>55</v>
      </c>
    </row>
    <row r="332" spans="1:10" x14ac:dyDescent="0.25">
      <c r="A332" s="1">
        <v>331</v>
      </c>
      <c r="B332" s="1" t="s">
        <v>426</v>
      </c>
      <c r="C332" s="1" t="s">
        <v>47</v>
      </c>
      <c r="D332" s="1" t="s">
        <v>43</v>
      </c>
      <c r="E332" s="1" t="s">
        <v>6</v>
      </c>
      <c r="F332" s="1" t="s">
        <v>14</v>
      </c>
      <c r="G332" s="1" t="s">
        <v>2</v>
      </c>
      <c r="H332" s="1" t="s">
        <v>22</v>
      </c>
      <c r="I332" s="1" t="s">
        <v>55</v>
      </c>
      <c r="J332" s="1" t="s">
        <v>59</v>
      </c>
    </row>
    <row r="333" spans="1:10" x14ac:dyDescent="0.25">
      <c r="A333" s="1">
        <v>332</v>
      </c>
      <c r="B333" s="1" t="s">
        <v>427</v>
      </c>
      <c r="C333" s="1" t="s">
        <v>47</v>
      </c>
      <c r="D333" s="1" t="s">
        <v>43</v>
      </c>
      <c r="E333" s="1" t="s">
        <v>6</v>
      </c>
      <c r="F333" s="1" t="s">
        <v>14</v>
      </c>
      <c r="G333" s="1" t="s">
        <v>2</v>
      </c>
      <c r="H333" s="1" t="s">
        <v>22</v>
      </c>
      <c r="I333" s="1" t="s">
        <v>63</v>
      </c>
      <c r="J333" s="1" t="s">
        <v>51</v>
      </c>
    </row>
    <row r="334" spans="1:10" x14ac:dyDescent="0.25">
      <c r="A334" s="1">
        <v>333</v>
      </c>
      <c r="B334" s="1" t="s">
        <v>428</v>
      </c>
      <c r="C334" s="1" t="s">
        <v>47</v>
      </c>
      <c r="D334" s="1" t="s">
        <v>43</v>
      </c>
      <c r="E334" s="1" t="s">
        <v>6</v>
      </c>
      <c r="F334" s="1" t="s">
        <v>14</v>
      </c>
      <c r="G334" s="1" t="s">
        <v>2</v>
      </c>
      <c r="H334" s="1" t="s">
        <v>22</v>
      </c>
      <c r="I334" s="1" t="s">
        <v>51</v>
      </c>
      <c r="J334" s="1" t="s">
        <v>59</v>
      </c>
    </row>
    <row r="335" spans="1:10" x14ac:dyDescent="0.25">
      <c r="A335" s="1">
        <v>334</v>
      </c>
      <c r="B335" s="1" t="s">
        <v>429</v>
      </c>
      <c r="C335" s="1" t="s">
        <v>47</v>
      </c>
      <c r="D335" s="1" t="s">
        <v>43</v>
      </c>
      <c r="E335" s="1" t="s">
        <v>6</v>
      </c>
      <c r="F335" s="1" t="s">
        <v>14</v>
      </c>
      <c r="G335" s="1" t="s">
        <v>2</v>
      </c>
      <c r="H335" s="1" t="s">
        <v>22</v>
      </c>
      <c r="I335" s="1" t="s">
        <v>51</v>
      </c>
      <c r="J335" s="1" t="s">
        <v>55</v>
      </c>
    </row>
    <row r="336" spans="1:10" x14ac:dyDescent="0.25">
      <c r="A336" s="1">
        <v>335</v>
      </c>
      <c r="B336" s="1" t="s">
        <v>430</v>
      </c>
      <c r="C336" s="1" t="s">
        <v>18</v>
      </c>
      <c r="D336" s="1" t="s">
        <v>55</v>
      </c>
      <c r="E336" s="1" t="s">
        <v>6</v>
      </c>
      <c r="F336" s="1" t="s">
        <v>2</v>
      </c>
      <c r="G336" s="1" t="s">
        <v>51</v>
      </c>
      <c r="H336" s="1" t="s">
        <v>14</v>
      </c>
      <c r="I336" s="1" t="s">
        <v>63</v>
      </c>
      <c r="J336" s="1" t="s">
        <v>59</v>
      </c>
    </row>
    <row r="337" spans="1:10" x14ac:dyDescent="0.25">
      <c r="A337" s="1">
        <v>336</v>
      </c>
      <c r="B337" s="1" t="s">
        <v>431</v>
      </c>
      <c r="C337" s="1" t="s">
        <v>18</v>
      </c>
      <c r="D337" s="1" t="s">
        <v>55</v>
      </c>
      <c r="E337" s="1" t="s">
        <v>6</v>
      </c>
      <c r="F337" s="1" t="s">
        <v>14</v>
      </c>
      <c r="G337" s="1" t="s">
        <v>2</v>
      </c>
      <c r="H337" s="1" t="s">
        <v>47</v>
      </c>
      <c r="I337" s="1" t="s">
        <v>63</v>
      </c>
      <c r="J337" s="1" t="s">
        <v>59</v>
      </c>
    </row>
    <row r="338" spans="1:10" x14ac:dyDescent="0.25">
      <c r="A338" s="1">
        <v>337</v>
      </c>
      <c r="B338" s="1" t="s">
        <v>432</v>
      </c>
      <c r="C338" s="1" t="s">
        <v>18</v>
      </c>
      <c r="D338" s="1" t="s">
        <v>51</v>
      </c>
      <c r="E338" s="1" t="s">
        <v>6</v>
      </c>
      <c r="F338" s="1" t="s">
        <v>14</v>
      </c>
      <c r="G338" s="1" t="s">
        <v>2</v>
      </c>
      <c r="H338" s="1" t="s">
        <v>47</v>
      </c>
      <c r="I338" s="1" t="s">
        <v>63</v>
      </c>
      <c r="J338" s="1" t="s">
        <v>59</v>
      </c>
    </row>
    <row r="339" spans="1:10" x14ac:dyDescent="0.25">
      <c r="A339" s="1">
        <v>338</v>
      </c>
      <c r="B339" s="1" t="s">
        <v>433</v>
      </c>
      <c r="C339" s="1" t="s">
        <v>18</v>
      </c>
      <c r="D339" s="1" t="s">
        <v>55</v>
      </c>
      <c r="E339" s="1" t="s">
        <v>6</v>
      </c>
      <c r="F339" s="1" t="s">
        <v>14</v>
      </c>
      <c r="G339" s="1" t="s">
        <v>2</v>
      </c>
      <c r="H339" s="1" t="s">
        <v>47</v>
      </c>
      <c r="I339" s="1" t="s">
        <v>63</v>
      </c>
      <c r="J339" s="1" t="s">
        <v>51</v>
      </c>
    </row>
    <row r="340" spans="1:10" x14ac:dyDescent="0.25">
      <c r="A340" s="1">
        <v>339</v>
      </c>
      <c r="B340" s="1" t="s">
        <v>434</v>
      </c>
      <c r="C340" s="1" t="s">
        <v>18</v>
      </c>
      <c r="D340" s="1" t="s">
        <v>55</v>
      </c>
      <c r="E340" s="1" t="s">
        <v>6</v>
      </c>
      <c r="F340" s="1" t="s">
        <v>14</v>
      </c>
      <c r="G340" s="1" t="s">
        <v>2</v>
      </c>
      <c r="H340" s="1" t="s">
        <v>47</v>
      </c>
      <c r="I340" s="1" t="s">
        <v>51</v>
      </c>
      <c r="J340" s="1" t="s">
        <v>59</v>
      </c>
    </row>
    <row r="341" spans="1:10" x14ac:dyDescent="0.25">
      <c r="A341" s="1">
        <v>340</v>
      </c>
      <c r="B341" s="1" t="s">
        <v>435</v>
      </c>
      <c r="C341" s="1" t="s">
        <v>18</v>
      </c>
      <c r="D341" s="1" t="s">
        <v>55</v>
      </c>
      <c r="E341" s="1" t="s">
        <v>6</v>
      </c>
      <c r="F341" s="1" t="s">
        <v>14</v>
      </c>
      <c r="G341" s="1" t="s">
        <v>2</v>
      </c>
      <c r="H341" s="1" t="s">
        <v>43</v>
      </c>
      <c r="I341" s="1" t="s">
        <v>63</v>
      </c>
      <c r="J341" s="1" t="s">
        <v>59</v>
      </c>
    </row>
    <row r="342" spans="1:10" x14ac:dyDescent="0.25">
      <c r="A342" s="1">
        <v>341</v>
      </c>
      <c r="B342" s="1" t="s">
        <v>436</v>
      </c>
      <c r="C342" s="1" t="s">
        <v>18</v>
      </c>
      <c r="D342" s="1" t="s">
        <v>43</v>
      </c>
      <c r="E342" s="1" t="s">
        <v>6</v>
      </c>
      <c r="F342" s="1" t="s">
        <v>2</v>
      </c>
      <c r="G342" s="1" t="s">
        <v>51</v>
      </c>
      <c r="H342" s="1" t="s">
        <v>14</v>
      </c>
      <c r="I342" s="1" t="s">
        <v>63</v>
      </c>
      <c r="J342" s="1" t="s">
        <v>59</v>
      </c>
    </row>
    <row r="343" spans="1:10" x14ac:dyDescent="0.25">
      <c r="A343" s="1">
        <v>342</v>
      </c>
      <c r="B343" s="1" t="s">
        <v>437</v>
      </c>
      <c r="C343" s="1" t="s">
        <v>18</v>
      </c>
      <c r="D343" s="1" t="s">
        <v>55</v>
      </c>
      <c r="E343" s="1" t="s">
        <v>6</v>
      </c>
      <c r="F343" s="1" t="s">
        <v>14</v>
      </c>
      <c r="G343" s="1" t="s">
        <v>2</v>
      </c>
      <c r="H343" s="1" t="s">
        <v>43</v>
      </c>
      <c r="I343" s="1" t="s">
        <v>63</v>
      </c>
      <c r="J343" s="1" t="s">
        <v>51</v>
      </c>
    </row>
    <row r="344" spans="1:10" x14ac:dyDescent="0.25">
      <c r="A344" s="1">
        <v>343</v>
      </c>
      <c r="B344" s="1" t="s">
        <v>438</v>
      </c>
      <c r="C344" s="1" t="s">
        <v>18</v>
      </c>
      <c r="D344" s="1" t="s">
        <v>55</v>
      </c>
      <c r="E344" s="1" t="s">
        <v>6</v>
      </c>
      <c r="F344" s="1" t="s">
        <v>14</v>
      </c>
      <c r="G344" s="1" t="s">
        <v>2</v>
      </c>
      <c r="H344" s="1" t="s">
        <v>43</v>
      </c>
      <c r="I344" s="1" t="s">
        <v>51</v>
      </c>
      <c r="J344" s="1" t="s">
        <v>59</v>
      </c>
    </row>
    <row r="345" spans="1:10" x14ac:dyDescent="0.25">
      <c r="A345" s="1">
        <v>344</v>
      </c>
      <c r="B345" s="1" t="s">
        <v>439</v>
      </c>
      <c r="C345" s="1" t="s">
        <v>18</v>
      </c>
      <c r="D345" s="1" t="s">
        <v>43</v>
      </c>
      <c r="E345" s="1" t="s">
        <v>6</v>
      </c>
      <c r="F345" s="1" t="s">
        <v>14</v>
      </c>
      <c r="G345" s="1" t="s">
        <v>2</v>
      </c>
      <c r="H345" s="1" t="s">
        <v>47</v>
      </c>
      <c r="I345" s="1" t="s">
        <v>63</v>
      </c>
      <c r="J345" s="1" t="s">
        <v>59</v>
      </c>
    </row>
    <row r="346" spans="1:10" x14ac:dyDescent="0.25">
      <c r="A346" s="1">
        <v>345</v>
      </c>
      <c r="B346" s="1" t="s">
        <v>440</v>
      </c>
      <c r="C346" s="1" t="s">
        <v>47</v>
      </c>
      <c r="D346" s="1" t="s">
        <v>55</v>
      </c>
      <c r="E346" s="1" t="s">
        <v>6</v>
      </c>
      <c r="F346" s="1" t="s">
        <v>14</v>
      </c>
      <c r="G346" s="1" t="s">
        <v>2</v>
      </c>
      <c r="H346" s="1" t="s">
        <v>43</v>
      </c>
      <c r="I346" s="1" t="s">
        <v>63</v>
      </c>
      <c r="J346" s="1" t="s">
        <v>18</v>
      </c>
    </row>
    <row r="347" spans="1:10" x14ac:dyDescent="0.25">
      <c r="A347" s="1">
        <v>346</v>
      </c>
      <c r="B347" s="1" t="s">
        <v>441</v>
      </c>
      <c r="C347" s="1" t="s">
        <v>47</v>
      </c>
      <c r="D347" s="1" t="s">
        <v>55</v>
      </c>
      <c r="E347" s="1" t="s">
        <v>6</v>
      </c>
      <c r="F347" s="1" t="s">
        <v>14</v>
      </c>
      <c r="G347" s="1" t="s">
        <v>2</v>
      </c>
      <c r="H347" s="1" t="s">
        <v>43</v>
      </c>
      <c r="I347" s="1" t="s">
        <v>18</v>
      </c>
      <c r="J347" s="1" t="s">
        <v>59</v>
      </c>
    </row>
    <row r="348" spans="1:10" x14ac:dyDescent="0.25">
      <c r="A348" s="1">
        <v>347</v>
      </c>
      <c r="B348" s="1" t="s">
        <v>442</v>
      </c>
      <c r="C348" s="1" t="s">
        <v>18</v>
      </c>
      <c r="D348" s="1" t="s">
        <v>43</v>
      </c>
      <c r="E348" s="1" t="s">
        <v>6</v>
      </c>
      <c r="F348" s="1" t="s">
        <v>14</v>
      </c>
      <c r="G348" s="1" t="s">
        <v>2</v>
      </c>
      <c r="H348" s="1" t="s">
        <v>47</v>
      </c>
      <c r="I348" s="1" t="s">
        <v>63</v>
      </c>
      <c r="J348" s="1" t="s">
        <v>51</v>
      </c>
    </row>
    <row r="349" spans="1:10" x14ac:dyDescent="0.25">
      <c r="A349" s="1">
        <v>348</v>
      </c>
      <c r="B349" s="1" t="s">
        <v>443</v>
      </c>
      <c r="C349" s="1" t="s">
        <v>18</v>
      </c>
      <c r="D349" s="1" t="s">
        <v>43</v>
      </c>
      <c r="E349" s="1" t="s">
        <v>6</v>
      </c>
      <c r="F349" s="1" t="s">
        <v>14</v>
      </c>
      <c r="G349" s="1" t="s">
        <v>2</v>
      </c>
      <c r="H349" s="1" t="s">
        <v>47</v>
      </c>
      <c r="I349" s="1" t="s">
        <v>51</v>
      </c>
      <c r="J349" s="1" t="s">
        <v>59</v>
      </c>
    </row>
    <row r="350" spans="1:10" x14ac:dyDescent="0.25">
      <c r="A350" s="1">
        <v>349</v>
      </c>
      <c r="B350" s="1" t="s">
        <v>444</v>
      </c>
      <c r="C350" s="1" t="s">
        <v>47</v>
      </c>
      <c r="D350" s="1" t="s">
        <v>55</v>
      </c>
      <c r="E350" s="1" t="s">
        <v>6</v>
      </c>
      <c r="F350" s="1" t="s">
        <v>14</v>
      </c>
      <c r="G350" s="1" t="s">
        <v>2</v>
      </c>
      <c r="H350" s="1" t="s">
        <v>43</v>
      </c>
      <c r="I350" s="1" t="s">
        <v>18</v>
      </c>
      <c r="J350" s="1" t="s">
        <v>51</v>
      </c>
    </row>
    <row r="351" spans="1:10" x14ac:dyDescent="0.25">
      <c r="A351" s="1">
        <v>350</v>
      </c>
      <c r="B351" s="1" t="s">
        <v>445</v>
      </c>
      <c r="C351" s="1" t="s">
        <v>18</v>
      </c>
      <c r="D351" s="1" t="s">
        <v>55</v>
      </c>
      <c r="E351" s="1" t="s">
        <v>6</v>
      </c>
      <c r="F351" s="1" t="s">
        <v>14</v>
      </c>
      <c r="G351" s="1" t="s">
        <v>2</v>
      </c>
      <c r="H351" s="1" t="s">
        <v>22</v>
      </c>
      <c r="I351" s="1" t="s">
        <v>63</v>
      </c>
      <c r="J351" s="1" t="s">
        <v>59</v>
      </c>
    </row>
    <row r="352" spans="1:10" x14ac:dyDescent="0.25">
      <c r="A352" s="1">
        <v>351</v>
      </c>
      <c r="B352" s="1" t="s">
        <v>446</v>
      </c>
      <c r="C352" s="1" t="s">
        <v>18</v>
      </c>
      <c r="D352" s="1" t="s">
        <v>51</v>
      </c>
      <c r="E352" s="1" t="s">
        <v>6</v>
      </c>
      <c r="F352" s="1" t="s">
        <v>14</v>
      </c>
      <c r="G352" s="1" t="s">
        <v>2</v>
      </c>
      <c r="H352" s="1" t="s">
        <v>22</v>
      </c>
      <c r="I352" s="1" t="s">
        <v>63</v>
      </c>
      <c r="J352" s="1" t="s">
        <v>59</v>
      </c>
    </row>
    <row r="353" spans="1:10" x14ac:dyDescent="0.25">
      <c r="A353" s="1">
        <v>352</v>
      </c>
      <c r="B353" s="1" t="s">
        <v>447</v>
      </c>
      <c r="C353" s="1" t="s">
        <v>18</v>
      </c>
      <c r="D353" s="1" t="s">
        <v>55</v>
      </c>
      <c r="E353" s="1" t="s">
        <v>6</v>
      </c>
      <c r="F353" s="1" t="s">
        <v>14</v>
      </c>
      <c r="G353" s="1" t="s">
        <v>2</v>
      </c>
      <c r="H353" s="1" t="s">
        <v>22</v>
      </c>
      <c r="I353" s="1" t="s">
        <v>63</v>
      </c>
      <c r="J353" s="1" t="s">
        <v>51</v>
      </c>
    </row>
    <row r="354" spans="1:10" x14ac:dyDescent="0.25">
      <c r="A354" s="1">
        <v>353</v>
      </c>
      <c r="B354" s="1" t="s">
        <v>448</v>
      </c>
      <c r="C354" s="1" t="s">
        <v>18</v>
      </c>
      <c r="D354" s="1" t="s">
        <v>55</v>
      </c>
      <c r="E354" s="1" t="s">
        <v>6</v>
      </c>
      <c r="F354" s="1" t="s">
        <v>14</v>
      </c>
      <c r="G354" s="1" t="s">
        <v>2</v>
      </c>
      <c r="H354" s="1" t="s">
        <v>22</v>
      </c>
      <c r="I354" s="1" t="s">
        <v>51</v>
      </c>
      <c r="J354" s="1" t="s">
        <v>59</v>
      </c>
    </row>
    <row r="355" spans="1:10" x14ac:dyDescent="0.25">
      <c r="A355" s="1">
        <v>354</v>
      </c>
      <c r="B355" s="1" t="s">
        <v>449</v>
      </c>
      <c r="C355" s="1" t="s">
        <v>47</v>
      </c>
      <c r="D355" s="1" t="s">
        <v>18</v>
      </c>
      <c r="E355" s="1" t="s">
        <v>6</v>
      </c>
      <c r="F355" s="1" t="s">
        <v>14</v>
      </c>
      <c r="G355" s="1" t="s">
        <v>2</v>
      </c>
      <c r="H355" s="1" t="s">
        <v>22</v>
      </c>
      <c r="I355" s="1" t="s">
        <v>63</v>
      </c>
      <c r="J355" s="1" t="s">
        <v>59</v>
      </c>
    </row>
    <row r="356" spans="1:10" x14ac:dyDescent="0.25">
      <c r="A356" s="1">
        <v>355</v>
      </c>
      <c r="B356" s="1" t="s">
        <v>450</v>
      </c>
      <c r="C356" s="1" t="s">
        <v>47</v>
      </c>
      <c r="D356" s="1" t="s">
        <v>55</v>
      </c>
      <c r="E356" s="1" t="s">
        <v>6</v>
      </c>
      <c r="F356" s="1" t="s">
        <v>14</v>
      </c>
      <c r="G356" s="1" t="s">
        <v>2</v>
      </c>
      <c r="H356" s="1" t="s">
        <v>22</v>
      </c>
      <c r="I356" s="1" t="s">
        <v>63</v>
      </c>
      <c r="J356" s="1" t="s">
        <v>18</v>
      </c>
    </row>
    <row r="357" spans="1:10" x14ac:dyDescent="0.25">
      <c r="A357" s="1">
        <v>356</v>
      </c>
      <c r="B357" s="1" t="s">
        <v>451</v>
      </c>
      <c r="C357" s="1" t="s">
        <v>47</v>
      </c>
      <c r="D357" s="1" t="s">
        <v>55</v>
      </c>
      <c r="E357" s="1" t="s">
        <v>6</v>
      </c>
      <c r="F357" s="1" t="s">
        <v>14</v>
      </c>
      <c r="G357" s="1" t="s">
        <v>2</v>
      </c>
      <c r="H357" s="1" t="s">
        <v>22</v>
      </c>
      <c r="I357" s="1" t="s">
        <v>18</v>
      </c>
      <c r="J357" s="1" t="s">
        <v>59</v>
      </c>
    </row>
    <row r="358" spans="1:10" x14ac:dyDescent="0.25">
      <c r="A358" s="1">
        <v>357</v>
      </c>
      <c r="B358" s="1" t="s">
        <v>452</v>
      </c>
      <c r="C358" s="1" t="s">
        <v>47</v>
      </c>
      <c r="D358" s="1" t="s">
        <v>18</v>
      </c>
      <c r="E358" s="1" t="s">
        <v>6</v>
      </c>
      <c r="F358" s="1" t="s">
        <v>14</v>
      </c>
      <c r="G358" s="1" t="s">
        <v>2</v>
      </c>
      <c r="H358" s="1" t="s">
        <v>22</v>
      </c>
      <c r="I358" s="1" t="s">
        <v>63</v>
      </c>
      <c r="J358" s="1" t="s">
        <v>51</v>
      </c>
    </row>
    <row r="359" spans="1:10" x14ac:dyDescent="0.25">
      <c r="A359" s="1">
        <v>358</v>
      </c>
      <c r="B359" s="1" t="s">
        <v>453</v>
      </c>
      <c r="C359" s="1" t="s">
        <v>47</v>
      </c>
      <c r="D359" s="1" t="s">
        <v>18</v>
      </c>
      <c r="E359" s="1" t="s">
        <v>6</v>
      </c>
      <c r="F359" s="1" t="s">
        <v>14</v>
      </c>
      <c r="G359" s="1" t="s">
        <v>2</v>
      </c>
      <c r="H359" s="1" t="s">
        <v>22</v>
      </c>
      <c r="I359" s="1" t="s">
        <v>51</v>
      </c>
      <c r="J359" s="1" t="s">
        <v>59</v>
      </c>
    </row>
    <row r="360" spans="1:10" x14ac:dyDescent="0.25">
      <c r="A360" s="1">
        <v>359</v>
      </c>
      <c r="B360" s="1" t="s">
        <v>454</v>
      </c>
      <c r="C360" s="1" t="s">
        <v>47</v>
      </c>
      <c r="D360" s="1" t="s">
        <v>55</v>
      </c>
      <c r="E360" s="1" t="s">
        <v>6</v>
      </c>
      <c r="F360" s="1" t="s">
        <v>14</v>
      </c>
      <c r="G360" s="1" t="s">
        <v>2</v>
      </c>
      <c r="H360" s="1" t="s">
        <v>22</v>
      </c>
      <c r="I360" s="1" t="s">
        <v>18</v>
      </c>
      <c r="J360" s="1" t="s">
        <v>51</v>
      </c>
    </row>
    <row r="361" spans="1:10" x14ac:dyDescent="0.25">
      <c r="A361" s="1">
        <v>360</v>
      </c>
      <c r="B361" s="1" t="s">
        <v>455</v>
      </c>
      <c r="C361" s="1" t="s">
        <v>18</v>
      </c>
      <c r="D361" s="1" t="s">
        <v>43</v>
      </c>
      <c r="E361" s="1" t="s">
        <v>6</v>
      </c>
      <c r="F361" s="1" t="s">
        <v>14</v>
      </c>
      <c r="G361" s="1" t="s">
        <v>2</v>
      </c>
      <c r="H361" s="1" t="s">
        <v>22</v>
      </c>
      <c r="I361" s="1" t="s">
        <v>63</v>
      </c>
      <c r="J361" s="1" t="s">
        <v>59</v>
      </c>
    </row>
    <row r="362" spans="1:10" x14ac:dyDescent="0.25">
      <c r="A362" s="1">
        <v>361</v>
      </c>
      <c r="B362" s="1" t="s">
        <v>456</v>
      </c>
      <c r="C362" s="1" t="s">
        <v>18</v>
      </c>
      <c r="D362" s="1" t="s">
        <v>43</v>
      </c>
      <c r="E362" s="1" t="s">
        <v>6</v>
      </c>
      <c r="F362" s="1" t="s">
        <v>14</v>
      </c>
      <c r="G362" s="1" t="s">
        <v>2</v>
      </c>
      <c r="H362" s="1" t="s">
        <v>22</v>
      </c>
      <c r="I362" s="1" t="s">
        <v>63</v>
      </c>
      <c r="J362" s="1" t="s">
        <v>55</v>
      </c>
    </row>
    <row r="363" spans="1:10" x14ac:dyDescent="0.25">
      <c r="A363" s="1">
        <v>362</v>
      </c>
      <c r="B363" s="1" t="s">
        <v>457</v>
      </c>
      <c r="C363" s="1" t="s">
        <v>18</v>
      </c>
      <c r="D363" s="1" t="s">
        <v>43</v>
      </c>
      <c r="E363" s="1" t="s">
        <v>6</v>
      </c>
      <c r="F363" s="1" t="s">
        <v>14</v>
      </c>
      <c r="G363" s="1" t="s">
        <v>2</v>
      </c>
      <c r="H363" s="1" t="s">
        <v>22</v>
      </c>
      <c r="I363" s="1" t="s">
        <v>55</v>
      </c>
      <c r="J363" s="1" t="s">
        <v>59</v>
      </c>
    </row>
    <row r="364" spans="1:10" x14ac:dyDescent="0.25">
      <c r="A364" s="1">
        <v>363</v>
      </c>
      <c r="B364" s="1" t="s">
        <v>458</v>
      </c>
      <c r="C364" s="1" t="s">
        <v>18</v>
      </c>
      <c r="D364" s="1" t="s">
        <v>43</v>
      </c>
      <c r="E364" s="1" t="s">
        <v>6</v>
      </c>
      <c r="F364" s="1" t="s">
        <v>14</v>
      </c>
      <c r="G364" s="1" t="s">
        <v>2</v>
      </c>
      <c r="H364" s="1" t="s">
        <v>22</v>
      </c>
      <c r="I364" s="1" t="s">
        <v>63</v>
      </c>
      <c r="J364" s="1" t="s">
        <v>51</v>
      </c>
    </row>
    <row r="365" spans="1:10" x14ac:dyDescent="0.25">
      <c r="A365" s="1">
        <v>364</v>
      </c>
      <c r="B365" s="1" t="s">
        <v>459</v>
      </c>
      <c r="C365" s="1" t="s">
        <v>18</v>
      </c>
      <c r="D365" s="1" t="s">
        <v>43</v>
      </c>
      <c r="E365" s="1" t="s">
        <v>6</v>
      </c>
      <c r="F365" s="1" t="s">
        <v>14</v>
      </c>
      <c r="G365" s="1" t="s">
        <v>2</v>
      </c>
      <c r="H365" s="1" t="s">
        <v>22</v>
      </c>
      <c r="I365" s="1" t="s">
        <v>51</v>
      </c>
      <c r="J365" s="1" t="s">
        <v>59</v>
      </c>
    </row>
    <row r="366" spans="1:10" x14ac:dyDescent="0.25">
      <c r="A366" s="1">
        <v>365</v>
      </c>
      <c r="B366" s="1" t="s">
        <v>460</v>
      </c>
      <c r="C366" s="1" t="s">
        <v>18</v>
      </c>
      <c r="D366" s="1" t="s">
        <v>43</v>
      </c>
      <c r="E366" s="1" t="s">
        <v>6</v>
      </c>
      <c r="F366" s="1" t="s">
        <v>14</v>
      </c>
      <c r="G366" s="1" t="s">
        <v>2</v>
      </c>
      <c r="H366" s="1" t="s">
        <v>22</v>
      </c>
      <c r="I366" s="1" t="s">
        <v>51</v>
      </c>
      <c r="J366" s="1" t="s">
        <v>55</v>
      </c>
    </row>
    <row r="367" spans="1:10" x14ac:dyDescent="0.25">
      <c r="A367" s="1">
        <v>366</v>
      </c>
      <c r="B367" s="1" t="s">
        <v>461</v>
      </c>
      <c r="C367" s="1" t="s">
        <v>47</v>
      </c>
      <c r="D367" s="1" t="s">
        <v>43</v>
      </c>
      <c r="E367" s="1" t="s">
        <v>6</v>
      </c>
      <c r="F367" s="1" t="s">
        <v>14</v>
      </c>
      <c r="G367" s="1" t="s">
        <v>2</v>
      </c>
      <c r="H367" s="1" t="s">
        <v>22</v>
      </c>
      <c r="I367" s="1" t="s">
        <v>63</v>
      </c>
      <c r="J367" s="1" t="s">
        <v>18</v>
      </c>
    </row>
    <row r="368" spans="1:10" x14ac:dyDescent="0.25">
      <c r="A368" s="1">
        <v>367</v>
      </c>
      <c r="B368" s="1" t="s">
        <v>462</v>
      </c>
      <c r="C368" s="1" t="s">
        <v>47</v>
      </c>
      <c r="D368" s="1" t="s">
        <v>43</v>
      </c>
      <c r="E368" s="1" t="s">
        <v>6</v>
      </c>
      <c r="F368" s="1" t="s">
        <v>14</v>
      </c>
      <c r="G368" s="1" t="s">
        <v>2</v>
      </c>
      <c r="H368" s="1" t="s">
        <v>22</v>
      </c>
      <c r="I368" s="1" t="s">
        <v>18</v>
      </c>
      <c r="J368" s="1" t="s">
        <v>59</v>
      </c>
    </row>
    <row r="369" spans="1:10" x14ac:dyDescent="0.25">
      <c r="A369" s="1">
        <v>368</v>
      </c>
      <c r="B369" s="1" t="s">
        <v>463</v>
      </c>
      <c r="C369" s="1" t="s">
        <v>47</v>
      </c>
      <c r="D369" s="1" t="s">
        <v>43</v>
      </c>
      <c r="E369" s="1" t="s">
        <v>6</v>
      </c>
      <c r="F369" s="1" t="s">
        <v>14</v>
      </c>
      <c r="G369" s="1" t="s">
        <v>2</v>
      </c>
      <c r="H369" s="1" t="s">
        <v>22</v>
      </c>
      <c r="I369" s="1" t="s">
        <v>18</v>
      </c>
      <c r="J369" s="1" t="s">
        <v>55</v>
      </c>
    </row>
    <row r="370" spans="1:10" x14ac:dyDescent="0.25">
      <c r="A370" s="1">
        <v>369</v>
      </c>
      <c r="B370" s="1" t="s">
        <v>464</v>
      </c>
      <c r="C370" s="1" t="s">
        <v>47</v>
      </c>
      <c r="D370" s="1" t="s">
        <v>43</v>
      </c>
      <c r="E370" s="1" t="s">
        <v>6</v>
      </c>
      <c r="F370" s="1" t="s">
        <v>14</v>
      </c>
      <c r="G370" s="1" t="s">
        <v>2</v>
      </c>
      <c r="H370" s="1" t="s">
        <v>22</v>
      </c>
      <c r="I370" s="1" t="s">
        <v>18</v>
      </c>
      <c r="J370" s="1" t="s">
        <v>51</v>
      </c>
    </row>
    <row r="371" spans="1:10" x14ac:dyDescent="0.25">
      <c r="A371" s="1">
        <v>370</v>
      </c>
      <c r="B371" s="1" t="s">
        <v>465</v>
      </c>
      <c r="C371" s="1" t="s">
        <v>51</v>
      </c>
      <c r="D371" s="1" t="s">
        <v>55</v>
      </c>
      <c r="E371" s="1" t="s">
        <v>6</v>
      </c>
      <c r="F371" s="1" t="s">
        <v>10</v>
      </c>
      <c r="G371" s="1" t="s">
        <v>2</v>
      </c>
      <c r="H371" s="1" t="s">
        <v>47</v>
      </c>
      <c r="I371" s="1" t="s">
        <v>63</v>
      </c>
      <c r="J371" s="1" t="s">
        <v>59</v>
      </c>
    </row>
    <row r="372" spans="1:10" x14ac:dyDescent="0.25">
      <c r="A372" s="1">
        <v>371</v>
      </c>
      <c r="B372" s="1" t="s">
        <v>466</v>
      </c>
      <c r="C372" s="1" t="s">
        <v>51</v>
      </c>
      <c r="D372" s="1" t="s">
        <v>55</v>
      </c>
      <c r="E372" s="1" t="s">
        <v>6</v>
      </c>
      <c r="F372" s="1" t="s">
        <v>10</v>
      </c>
      <c r="G372" s="1" t="s">
        <v>2</v>
      </c>
      <c r="H372" s="1" t="s">
        <v>43</v>
      </c>
      <c r="I372" s="1" t="s">
        <v>63</v>
      </c>
      <c r="J372" s="1" t="s">
        <v>59</v>
      </c>
    </row>
    <row r="373" spans="1:10" x14ac:dyDescent="0.25">
      <c r="A373" s="1">
        <v>372</v>
      </c>
      <c r="B373" s="1" t="s">
        <v>467</v>
      </c>
      <c r="C373" s="1" t="s">
        <v>47</v>
      </c>
      <c r="D373" s="1" t="s">
        <v>55</v>
      </c>
      <c r="E373" s="1" t="s">
        <v>6</v>
      </c>
      <c r="F373" s="1" t="s">
        <v>10</v>
      </c>
      <c r="G373" s="1" t="s">
        <v>2</v>
      </c>
      <c r="H373" s="1" t="s">
        <v>43</v>
      </c>
      <c r="I373" s="1" t="s">
        <v>63</v>
      </c>
      <c r="J373" s="1" t="s">
        <v>59</v>
      </c>
    </row>
    <row r="374" spans="1:10" x14ac:dyDescent="0.25">
      <c r="A374" s="1">
        <v>373</v>
      </c>
      <c r="B374" s="1" t="s">
        <v>468</v>
      </c>
      <c r="C374" s="1" t="s">
        <v>51</v>
      </c>
      <c r="D374" s="1" t="s">
        <v>43</v>
      </c>
      <c r="E374" s="1" t="s">
        <v>6</v>
      </c>
      <c r="F374" s="1" t="s">
        <v>10</v>
      </c>
      <c r="G374" s="1" t="s">
        <v>2</v>
      </c>
      <c r="H374" s="1" t="s">
        <v>47</v>
      </c>
      <c r="I374" s="1" t="s">
        <v>63</v>
      </c>
      <c r="J374" s="1" t="s">
        <v>59</v>
      </c>
    </row>
    <row r="375" spans="1:10" x14ac:dyDescent="0.25">
      <c r="A375" s="1">
        <v>374</v>
      </c>
      <c r="B375" s="1" t="s">
        <v>469</v>
      </c>
      <c r="C375" s="1" t="s">
        <v>47</v>
      </c>
      <c r="D375" s="1" t="s">
        <v>55</v>
      </c>
      <c r="E375" s="1" t="s">
        <v>6</v>
      </c>
      <c r="F375" s="1" t="s">
        <v>10</v>
      </c>
      <c r="G375" s="1" t="s">
        <v>2</v>
      </c>
      <c r="H375" s="1" t="s">
        <v>43</v>
      </c>
      <c r="I375" s="1" t="s">
        <v>63</v>
      </c>
      <c r="J375" s="1" t="s">
        <v>51</v>
      </c>
    </row>
    <row r="376" spans="1:10" x14ac:dyDescent="0.25">
      <c r="A376" s="1">
        <v>375</v>
      </c>
      <c r="B376" s="1" t="s">
        <v>470</v>
      </c>
      <c r="C376" s="1" t="s">
        <v>47</v>
      </c>
      <c r="D376" s="1" t="s">
        <v>55</v>
      </c>
      <c r="E376" s="1" t="s">
        <v>6</v>
      </c>
      <c r="F376" s="1" t="s">
        <v>10</v>
      </c>
      <c r="G376" s="1" t="s">
        <v>2</v>
      </c>
      <c r="H376" s="1" t="s">
        <v>43</v>
      </c>
      <c r="I376" s="1" t="s">
        <v>51</v>
      </c>
      <c r="J376" s="1" t="s">
        <v>59</v>
      </c>
    </row>
    <row r="377" spans="1:10" x14ac:dyDescent="0.25">
      <c r="A377" s="1">
        <v>376</v>
      </c>
      <c r="B377" s="1" t="s">
        <v>471</v>
      </c>
      <c r="C377" s="1" t="s">
        <v>51</v>
      </c>
      <c r="D377" s="1" t="s">
        <v>55</v>
      </c>
      <c r="E377" s="1" t="s">
        <v>6</v>
      </c>
      <c r="F377" s="1" t="s">
        <v>10</v>
      </c>
      <c r="G377" s="1" t="s">
        <v>2</v>
      </c>
      <c r="H377" s="1" t="s">
        <v>22</v>
      </c>
      <c r="I377" s="1" t="s">
        <v>63</v>
      </c>
      <c r="J377" s="1" t="s">
        <v>59</v>
      </c>
    </row>
    <row r="378" spans="1:10" x14ac:dyDescent="0.25">
      <c r="A378" s="1">
        <v>377</v>
      </c>
      <c r="B378" s="1" t="s">
        <v>472</v>
      </c>
      <c r="C378" s="1" t="s">
        <v>47</v>
      </c>
      <c r="D378" s="1" t="s">
        <v>55</v>
      </c>
      <c r="E378" s="1" t="s">
        <v>6</v>
      </c>
      <c r="F378" s="1" t="s">
        <v>10</v>
      </c>
      <c r="G378" s="1" t="s">
        <v>2</v>
      </c>
      <c r="H378" s="1" t="s">
        <v>22</v>
      </c>
      <c r="I378" s="1" t="s">
        <v>63</v>
      </c>
      <c r="J378" s="1" t="s">
        <v>59</v>
      </c>
    </row>
    <row r="379" spans="1:10" x14ac:dyDescent="0.25">
      <c r="A379" s="1">
        <v>378</v>
      </c>
      <c r="B379" s="1" t="s">
        <v>473</v>
      </c>
      <c r="C379" s="1" t="s">
        <v>47</v>
      </c>
      <c r="D379" s="1" t="s">
        <v>51</v>
      </c>
      <c r="E379" s="1" t="s">
        <v>6</v>
      </c>
      <c r="F379" s="1" t="s">
        <v>10</v>
      </c>
      <c r="G379" s="1" t="s">
        <v>2</v>
      </c>
      <c r="H379" s="1" t="s">
        <v>22</v>
      </c>
      <c r="I379" s="1" t="s">
        <v>63</v>
      </c>
      <c r="J379" s="1" t="s">
        <v>59</v>
      </c>
    </row>
    <row r="380" spans="1:10" x14ac:dyDescent="0.25">
      <c r="A380" s="1">
        <v>379</v>
      </c>
      <c r="B380" s="1" t="s">
        <v>474</v>
      </c>
      <c r="C380" s="1" t="s">
        <v>47</v>
      </c>
      <c r="D380" s="1" t="s">
        <v>55</v>
      </c>
      <c r="E380" s="1" t="s">
        <v>6</v>
      </c>
      <c r="F380" s="1" t="s">
        <v>10</v>
      </c>
      <c r="G380" s="1" t="s">
        <v>2</v>
      </c>
      <c r="H380" s="1" t="s">
        <v>22</v>
      </c>
      <c r="I380" s="1" t="s">
        <v>63</v>
      </c>
      <c r="J380" s="1" t="s">
        <v>51</v>
      </c>
    </row>
    <row r="381" spans="1:10" x14ac:dyDescent="0.25">
      <c r="A381" s="1">
        <v>380</v>
      </c>
      <c r="B381" s="1" t="s">
        <v>475</v>
      </c>
      <c r="C381" s="1" t="s">
        <v>47</v>
      </c>
      <c r="D381" s="1" t="s">
        <v>55</v>
      </c>
      <c r="E381" s="1" t="s">
        <v>6</v>
      </c>
      <c r="F381" s="1" t="s">
        <v>10</v>
      </c>
      <c r="G381" s="1" t="s">
        <v>2</v>
      </c>
      <c r="H381" s="1" t="s">
        <v>22</v>
      </c>
      <c r="I381" s="1" t="s">
        <v>51</v>
      </c>
      <c r="J381" s="1" t="s">
        <v>59</v>
      </c>
    </row>
    <row r="382" spans="1:10" x14ac:dyDescent="0.25">
      <c r="A382" s="1">
        <v>381</v>
      </c>
      <c r="B382" s="1" t="s">
        <v>476</v>
      </c>
      <c r="C382" s="1" t="s">
        <v>10</v>
      </c>
      <c r="D382" s="1" t="s">
        <v>55</v>
      </c>
      <c r="E382" s="1" t="s">
        <v>6</v>
      </c>
      <c r="F382" s="1" t="s">
        <v>22</v>
      </c>
      <c r="G382" s="1" t="s">
        <v>2</v>
      </c>
      <c r="H382" s="1" t="s">
        <v>43</v>
      </c>
      <c r="I382" s="1" t="s">
        <v>63</v>
      </c>
      <c r="J382" s="1" t="s">
        <v>59</v>
      </c>
    </row>
    <row r="383" spans="1:10" x14ac:dyDescent="0.25">
      <c r="A383" s="1">
        <v>382</v>
      </c>
      <c r="B383" s="1" t="s">
        <v>477</v>
      </c>
      <c r="C383" s="1" t="s">
        <v>51</v>
      </c>
      <c r="D383" s="1" t="s">
        <v>43</v>
      </c>
      <c r="E383" s="1" t="s">
        <v>6</v>
      </c>
      <c r="F383" s="1" t="s">
        <v>10</v>
      </c>
      <c r="G383" s="1" t="s">
        <v>2</v>
      </c>
      <c r="H383" s="1" t="s">
        <v>22</v>
      </c>
      <c r="I383" s="1" t="s">
        <v>63</v>
      </c>
      <c r="J383" s="1" t="s">
        <v>59</v>
      </c>
    </row>
    <row r="384" spans="1:10" x14ac:dyDescent="0.25">
      <c r="A384" s="1">
        <v>383</v>
      </c>
      <c r="B384" s="1" t="s">
        <v>478</v>
      </c>
      <c r="C384" s="1" t="s">
        <v>10</v>
      </c>
      <c r="D384" s="1" t="s">
        <v>55</v>
      </c>
      <c r="E384" s="1" t="s">
        <v>6</v>
      </c>
      <c r="F384" s="1" t="s">
        <v>22</v>
      </c>
      <c r="G384" s="1" t="s">
        <v>2</v>
      </c>
      <c r="H384" s="1" t="s">
        <v>43</v>
      </c>
      <c r="I384" s="1" t="s">
        <v>63</v>
      </c>
      <c r="J384" s="1" t="s">
        <v>51</v>
      </c>
    </row>
    <row r="385" spans="1:10" x14ac:dyDescent="0.25">
      <c r="A385" s="1">
        <v>384</v>
      </c>
      <c r="B385" s="1" t="s">
        <v>479</v>
      </c>
      <c r="C385" s="1" t="s">
        <v>10</v>
      </c>
      <c r="D385" s="1" t="s">
        <v>55</v>
      </c>
      <c r="E385" s="1" t="s">
        <v>6</v>
      </c>
      <c r="F385" s="1" t="s">
        <v>22</v>
      </c>
      <c r="G385" s="1" t="s">
        <v>2</v>
      </c>
      <c r="H385" s="1" t="s">
        <v>43</v>
      </c>
      <c r="I385" s="1" t="s">
        <v>51</v>
      </c>
      <c r="J385" s="1" t="s">
        <v>59</v>
      </c>
    </row>
    <row r="386" spans="1:10" x14ac:dyDescent="0.25">
      <c r="A386" s="1">
        <v>385</v>
      </c>
      <c r="B386" s="1" t="s">
        <v>480</v>
      </c>
      <c r="C386" s="1" t="s">
        <v>47</v>
      </c>
      <c r="D386" s="1" t="s">
        <v>43</v>
      </c>
      <c r="E386" s="1" t="s">
        <v>6</v>
      </c>
      <c r="F386" s="1" t="s">
        <v>10</v>
      </c>
      <c r="G386" s="1" t="s">
        <v>2</v>
      </c>
      <c r="H386" s="1" t="s">
        <v>22</v>
      </c>
      <c r="I386" s="1" t="s">
        <v>63</v>
      </c>
      <c r="J386" s="1" t="s">
        <v>59</v>
      </c>
    </row>
    <row r="387" spans="1:10" x14ac:dyDescent="0.25">
      <c r="A387" s="1">
        <v>386</v>
      </c>
      <c r="B387" s="1" t="s">
        <v>481</v>
      </c>
      <c r="C387" s="1" t="s">
        <v>47</v>
      </c>
      <c r="D387" s="1" t="s">
        <v>43</v>
      </c>
      <c r="E387" s="1" t="s">
        <v>6</v>
      </c>
      <c r="F387" s="1" t="s">
        <v>10</v>
      </c>
      <c r="G387" s="1" t="s">
        <v>2</v>
      </c>
      <c r="H387" s="1" t="s">
        <v>22</v>
      </c>
      <c r="I387" s="1" t="s">
        <v>63</v>
      </c>
      <c r="J387" s="1" t="s">
        <v>55</v>
      </c>
    </row>
    <row r="388" spans="1:10" x14ac:dyDescent="0.25">
      <c r="A388" s="1">
        <v>387</v>
      </c>
      <c r="B388" s="1" t="s">
        <v>482</v>
      </c>
      <c r="C388" s="1" t="s">
        <v>47</v>
      </c>
      <c r="D388" s="1" t="s">
        <v>43</v>
      </c>
      <c r="E388" s="1" t="s">
        <v>6</v>
      </c>
      <c r="F388" s="1" t="s">
        <v>10</v>
      </c>
      <c r="G388" s="1" t="s">
        <v>2</v>
      </c>
      <c r="H388" s="1" t="s">
        <v>22</v>
      </c>
      <c r="I388" s="1" t="s">
        <v>55</v>
      </c>
      <c r="J388" s="1" t="s">
        <v>59</v>
      </c>
    </row>
    <row r="389" spans="1:10" x14ac:dyDescent="0.25">
      <c r="A389" s="1">
        <v>388</v>
      </c>
      <c r="B389" s="1" t="s">
        <v>483</v>
      </c>
      <c r="C389" s="1" t="s">
        <v>47</v>
      </c>
      <c r="D389" s="1" t="s">
        <v>43</v>
      </c>
      <c r="E389" s="1" t="s">
        <v>6</v>
      </c>
      <c r="F389" s="1" t="s">
        <v>10</v>
      </c>
      <c r="G389" s="1" t="s">
        <v>2</v>
      </c>
      <c r="H389" s="1" t="s">
        <v>22</v>
      </c>
      <c r="I389" s="1" t="s">
        <v>63</v>
      </c>
      <c r="J389" s="1" t="s">
        <v>51</v>
      </c>
    </row>
    <row r="390" spans="1:10" x14ac:dyDescent="0.25">
      <c r="A390" s="1">
        <v>389</v>
      </c>
      <c r="B390" s="1" t="s">
        <v>484</v>
      </c>
      <c r="C390" s="1" t="s">
        <v>47</v>
      </c>
      <c r="D390" s="1" t="s">
        <v>43</v>
      </c>
      <c r="E390" s="1" t="s">
        <v>6</v>
      </c>
      <c r="F390" s="1" t="s">
        <v>10</v>
      </c>
      <c r="G390" s="1" t="s">
        <v>2</v>
      </c>
      <c r="H390" s="1" t="s">
        <v>22</v>
      </c>
      <c r="I390" s="1" t="s">
        <v>51</v>
      </c>
      <c r="J390" s="1" t="s">
        <v>59</v>
      </c>
    </row>
    <row r="391" spans="1:10" x14ac:dyDescent="0.25">
      <c r="A391" s="1">
        <v>390</v>
      </c>
      <c r="B391" s="1" t="s">
        <v>485</v>
      </c>
      <c r="C391" s="1" t="s">
        <v>47</v>
      </c>
      <c r="D391" s="1" t="s">
        <v>43</v>
      </c>
      <c r="E391" s="1" t="s">
        <v>6</v>
      </c>
      <c r="F391" s="1" t="s">
        <v>10</v>
      </c>
      <c r="G391" s="1" t="s">
        <v>2</v>
      </c>
      <c r="H391" s="1" t="s">
        <v>22</v>
      </c>
      <c r="I391" s="1" t="s">
        <v>51</v>
      </c>
      <c r="J391" s="1" t="s">
        <v>55</v>
      </c>
    </row>
    <row r="392" spans="1:10" x14ac:dyDescent="0.25">
      <c r="A392" s="1">
        <v>391</v>
      </c>
      <c r="B392" s="1" t="s">
        <v>486</v>
      </c>
      <c r="C392" s="1" t="s">
        <v>18</v>
      </c>
      <c r="D392" s="1" t="s">
        <v>55</v>
      </c>
      <c r="E392" s="1" t="s">
        <v>6</v>
      </c>
      <c r="F392" s="1" t="s">
        <v>2</v>
      </c>
      <c r="G392" s="1" t="s">
        <v>51</v>
      </c>
      <c r="H392" s="1" t="s">
        <v>10</v>
      </c>
      <c r="I392" s="1" t="s">
        <v>63</v>
      </c>
      <c r="J392" s="1" t="s">
        <v>59</v>
      </c>
    </row>
    <row r="393" spans="1:10" x14ac:dyDescent="0.25">
      <c r="A393" s="1">
        <v>392</v>
      </c>
      <c r="B393" s="1" t="s">
        <v>487</v>
      </c>
      <c r="C393" s="1" t="s">
        <v>18</v>
      </c>
      <c r="D393" s="1" t="s">
        <v>55</v>
      </c>
      <c r="E393" s="1" t="s">
        <v>6</v>
      </c>
      <c r="F393" s="1" t="s">
        <v>10</v>
      </c>
      <c r="G393" s="1" t="s">
        <v>2</v>
      </c>
      <c r="H393" s="1" t="s">
        <v>47</v>
      </c>
      <c r="I393" s="1" t="s">
        <v>63</v>
      </c>
      <c r="J393" s="1" t="s">
        <v>59</v>
      </c>
    </row>
    <row r="394" spans="1:10" x14ac:dyDescent="0.25">
      <c r="A394" s="1">
        <v>393</v>
      </c>
      <c r="B394" s="1" t="s">
        <v>488</v>
      </c>
      <c r="C394" s="1" t="s">
        <v>18</v>
      </c>
      <c r="D394" s="1" t="s">
        <v>51</v>
      </c>
      <c r="E394" s="1" t="s">
        <v>6</v>
      </c>
      <c r="F394" s="1" t="s">
        <v>10</v>
      </c>
      <c r="G394" s="1" t="s">
        <v>2</v>
      </c>
      <c r="H394" s="1" t="s">
        <v>47</v>
      </c>
      <c r="I394" s="1" t="s">
        <v>63</v>
      </c>
      <c r="J394" s="1" t="s">
        <v>59</v>
      </c>
    </row>
    <row r="395" spans="1:10" x14ac:dyDescent="0.25">
      <c r="A395" s="1">
        <v>394</v>
      </c>
      <c r="B395" s="1" t="s">
        <v>489</v>
      </c>
      <c r="C395" s="1" t="s">
        <v>18</v>
      </c>
      <c r="D395" s="1" t="s">
        <v>55</v>
      </c>
      <c r="E395" s="1" t="s">
        <v>6</v>
      </c>
      <c r="F395" s="1" t="s">
        <v>10</v>
      </c>
      <c r="G395" s="1" t="s">
        <v>2</v>
      </c>
      <c r="H395" s="1" t="s">
        <v>47</v>
      </c>
      <c r="I395" s="1" t="s">
        <v>63</v>
      </c>
      <c r="J395" s="1" t="s">
        <v>51</v>
      </c>
    </row>
    <row r="396" spans="1:10" x14ac:dyDescent="0.25">
      <c r="A396" s="1">
        <v>395</v>
      </c>
      <c r="B396" s="1" t="s">
        <v>490</v>
      </c>
      <c r="C396" s="1" t="s">
        <v>18</v>
      </c>
      <c r="D396" s="1" t="s">
        <v>55</v>
      </c>
      <c r="E396" s="1" t="s">
        <v>6</v>
      </c>
      <c r="F396" s="1" t="s">
        <v>10</v>
      </c>
      <c r="G396" s="1" t="s">
        <v>2</v>
      </c>
      <c r="H396" s="1" t="s">
        <v>47</v>
      </c>
      <c r="I396" s="1" t="s">
        <v>51</v>
      </c>
      <c r="J396" s="1" t="s">
        <v>59</v>
      </c>
    </row>
    <row r="397" spans="1:10" x14ac:dyDescent="0.25">
      <c r="A397" s="1">
        <v>396</v>
      </c>
      <c r="B397" s="1" t="s">
        <v>491</v>
      </c>
      <c r="C397" s="1" t="s">
        <v>18</v>
      </c>
      <c r="D397" s="1" t="s">
        <v>55</v>
      </c>
      <c r="E397" s="1" t="s">
        <v>6</v>
      </c>
      <c r="F397" s="1" t="s">
        <v>10</v>
      </c>
      <c r="G397" s="1" t="s">
        <v>2</v>
      </c>
      <c r="H397" s="1" t="s">
        <v>43</v>
      </c>
      <c r="I397" s="1" t="s">
        <v>63</v>
      </c>
      <c r="J397" s="1" t="s">
        <v>59</v>
      </c>
    </row>
    <row r="398" spans="1:10" x14ac:dyDescent="0.25">
      <c r="A398" s="1">
        <v>397</v>
      </c>
      <c r="B398" s="1" t="s">
        <v>492</v>
      </c>
      <c r="C398" s="1" t="s">
        <v>18</v>
      </c>
      <c r="D398" s="1" t="s">
        <v>43</v>
      </c>
      <c r="E398" s="1" t="s">
        <v>6</v>
      </c>
      <c r="F398" s="1" t="s">
        <v>2</v>
      </c>
      <c r="G398" s="1" t="s">
        <v>51</v>
      </c>
      <c r="H398" s="1" t="s">
        <v>10</v>
      </c>
      <c r="I398" s="1" t="s">
        <v>63</v>
      </c>
      <c r="J398" s="1" t="s">
        <v>59</v>
      </c>
    </row>
    <row r="399" spans="1:10" x14ac:dyDescent="0.25">
      <c r="A399" s="1">
        <v>398</v>
      </c>
      <c r="B399" s="1" t="s">
        <v>493</v>
      </c>
      <c r="C399" s="1" t="s">
        <v>18</v>
      </c>
      <c r="D399" s="1" t="s">
        <v>55</v>
      </c>
      <c r="E399" s="1" t="s">
        <v>6</v>
      </c>
      <c r="F399" s="1" t="s">
        <v>10</v>
      </c>
      <c r="G399" s="1" t="s">
        <v>2</v>
      </c>
      <c r="H399" s="1" t="s">
        <v>43</v>
      </c>
      <c r="I399" s="1" t="s">
        <v>63</v>
      </c>
      <c r="J399" s="1" t="s">
        <v>51</v>
      </c>
    </row>
    <row r="400" spans="1:10" x14ac:dyDescent="0.25">
      <c r="A400" s="1">
        <v>399</v>
      </c>
      <c r="B400" s="1" t="s">
        <v>494</v>
      </c>
      <c r="C400" s="1" t="s">
        <v>18</v>
      </c>
      <c r="D400" s="1" t="s">
        <v>55</v>
      </c>
      <c r="E400" s="1" t="s">
        <v>6</v>
      </c>
      <c r="F400" s="1" t="s">
        <v>10</v>
      </c>
      <c r="G400" s="1" t="s">
        <v>2</v>
      </c>
      <c r="H400" s="1" t="s">
        <v>43</v>
      </c>
      <c r="I400" s="1" t="s">
        <v>51</v>
      </c>
      <c r="J400" s="1" t="s">
        <v>59</v>
      </c>
    </row>
    <row r="401" spans="1:10" x14ac:dyDescent="0.25">
      <c r="A401" s="1">
        <v>400</v>
      </c>
      <c r="B401" s="1" t="s">
        <v>495</v>
      </c>
      <c r="C401" s="1" t="s">
        <v>18</v>
      </c>
      <c r="D401" s="1" t="s">
        <v>43</v>
      </c>
      <c r="E401" s="1" t="s">
        <v>6</v>
      </c>
      <c r="F401" s="1" t="s">
        <v>10</v>
      </c>
      <c r="G401" s="1" t="s">
        <v>2</v>
      </c>
      <c r="H401" s="1" t="s">
        <v>47</v>
      </c>
      <c r="I401" s="1" t="s">
        <v>63</v>
      </c>
      <c r="J401" s="1" t="s">
        <v>59</v>
      </c>
    </row>
    <row r="402" spans="1:10" x14ac:dyDescent="0.25">
      <c r="A402" s="1">
        <v>401</v>
      </c>
      <c r="B402" s="1" t="s">
        <v>496</v>
      </c>
      <c r="C402" s="1" t="s">
        <v>47</v>
      </c>
      <c r="D402" s="1" t="s">
        <v>55</v>
      </c>
      <c r="E402" s="1" t="s">
        <v>6</v>
      </c>
      <c r="F402" s="1" t="s">
        <v>10</v>
      </c>
      <c r="G402" s="1" t="s">
        <v>2</v>
      </c>
      <c r="H402" s="1" t="s">
        <v>43</v>
      </c>
      <c r="I402" s="1" t="s">
        <v>63</v>
      </c>
      <c r="J402" s="1" t="s">
        <v>18</v>
      </c>
    </row>
    <row r="403" spans="1:10" x14ac:dyDescent="0.25">
      <c r="A403" s="1">
        <v>402</v>
      </c>
      <c r="B403" s="1" t="s">
        <v>497</v>
      </c>
      <c r="C403" s="1" t="s">
        <v>47</v>
      </c>
      <c r="D403" s="1" t="s">
        <v>55</v>
      </c>
      <c r="E403" s="1" t="s">
        <v>6</v>
      </c>
      <c r="F403" s="1" t="s">
        <v>10</v>
      </c>
      <c r="G403" s="1" t="s">
        <v>2</v>
      </c>
      <c r="H403" s="1" t="s">
        <v>43</v>
      </c>
      <c r="I403" s="1" t="s">
        <v>18</v>
      </c>
      <c r="J403" s="1" t="s">
        <v>59</v>
      </c>
    </row>
    <row r="404" spans="1:10" x14ac:dyDescent="0.25">
      <c r="A404" s="1">
        <v>403</v>
      </c>
      <c r="B404" s="1" t="s">
        <v>498</v>
      </c>
      <c r="C404" s="1" t="s">
        <v>18</v>
      </c>
      <c r="D404" s="1" t="s">
        <v>43</v>
      </c>
      <c r="E404" s="1" t="s">
        <v>6</v>
      </c>
      <c r="F404" s="1" t="s">
        <v>10</v>
      </c>
      <c r="G404" s="1" t="s">
        <v>2</v>
      </c>
      <c r="H404" s="1" t="s">
        <v>47</v>
      </c>
      <c r="I404" s="1" t="s">
        <v>63</v>
      </c>
      <c r="J404" s="1" t="s">
        <v>51</v>
      </c>
    </row>
    <row r="405" spans="1:10" x14ac:dyDescent="0.25">
      <c r="A405" s="1">
        <v>404</v>
      </c>
      <c r="B405" s="1" t="s">
        <v>499</v>
      </c>
      <c r="C405" s="1" t="s">
        <v>18</v>
      </c>
      <c r="D405" s="1" t="s">
        <v>43</v>
      </c>
      <c r="E405" s="1" t="s">
        <v>6</v>
      </c>
      <c r="F405" s="1" t="s">
        <v>10</v>
      </c>
      <c r="G405" s="1" t="s">
        <v>2</v>
      </c>
      <c r="H405" s="1" t="s">
        <v>47</v>
      </c>
      <c r="I405" s="1" t="s">
        <v>51</v>
      </c>
      <c r="J405" s="1" t="s">
        <v>59</v>
      </c>
    </row>
    <row r="406" spans="1:10" x14ac:dyDescent="0.25">
      <c r="A406" s="1">
        <v>405</v>
      </c>
      <c r="B406" s="1" t="s">
        <v>500</v>
      </c>
      <c r="C406" s="1" t="s">
        <v>47</v>
      </c>
      <c r="D406" s="1" t="s">
        <v>55</v>
      </c>
      <c r="E406" s="1" t="s">
        <v>6</v>
      </c>
      <c r="F406" s="1" t="s">
        <v>10</v>
      </c>
      <c r="G406" s="1" t="s">
        <v>2</v>
      </c>
      <c r="H406" s="1" t="s">
        <v>43</v>
      </c>
      <c r="I406" s="1" t="s">
        <v>18</v>
      </c>
      <c r="J406" s="1" t="s">
        <v>51</v>
      </c>
    </row>
    <row r="407" spans="1:10" x14ac:dyDescent="0.25">
      <c r="A407" s="1">
        <v>406</v>
      </c>
      <c r="B407" s="1" t="s">
        <v>501</v>
      </c>
      <c r="C407" s="1" t="s">
        <v>18</v>
      </c>
      <c r="D407" s="1" t="s">
        <v>55</v>
      </c>
      <c r="E407" s="1" t="s">
        <v>6</v>
      </c>
      <c r="F407" s="1" t="s">
        <v>10</v>
      </c>
      <c r="G407" s="1" t="s">
        <v>2</v>
      </c>
      <c r="H407" s="1" t="s">
        <v>22</v>
      </c>
      <c r="I407" s="1" t="s">
        <v>63</v>
      </c>
      <c r="J407" s="1" t="s">
        <v>59</v>
      </c>
    </row>
    <row r="408" spans="1:10" x14ac:dyDescent="0.25">
      <c r="A408" s="1">
        <v>407</v>
      </c>
      <c r="B408" s="1" t="s">
        <v>502</v>
      </c>
      <c r="C408" s="1" t="s">
        <v>18</v>
      </c>
      <c r="D408" s="1" t="s">
        <v>51</v>
      </c>
      <c r="E408" s="1" t="s">
        <v>6</v>
      </c>
      <c r="F408" s="1" t="s">
        <v>10</v>
      </c>
      <c r="G408" s="1" t="s">
        <v>2</v>
      </c>
      <c r="H408" s="1" t="s">
        <v>22</v>
      </c>
      <c r="I408" s="1" t="s">
        <v>63</v>
      </c>
      <c r="J408" s="1" t="s">
        <v>59</v>
      </c>
    </row>
    <row r="409" spans="1:10" x14ac:dyDescent="0.25">
      <c r="A409" s="1">
        <v>408</v>
      </c>
      <c r="B409" s="1" t="s">
        <v>503</v>
      </c>
      <c r="C409" s="1" t="s">
        <v>18</v>
      </c>
      <c r="D409" s="1" t="s">
        <v>55</v>
      </c>
      <c r="E409" s="1" t="s">
        <v>6</v>
      </c>
      <c r="F409" s="1" t="s">
        <v>10</v>
      </c>
      <c r="G409" s="1" t="s">
        <v>2</v>
      </c>
      <c r="H409" s="1" t="s">
        <v>22</v>
      </c>
      <c r="I409" s="1" t="s">
        <v>63</v>
      </c>
      <c r="J409" s="1" t="s">
        <v>51</v>
      </c>
    </row>
    <row r="410" spans="1:10" x14ac:dyDescent="0.25">
      <c r="A410" s="1">
        <v>409</v>
      </c>
      <c r="B410" s="1" t="s">
        <v>504</v>
      </c>
      <c r="C410" s="1" t="s">
        <v>18</v>
      </c>
      <c r="D410" s="1" t="s">
        <v>55</v>
      </c>
      <c r="E410" s="1" t="s">
        <v>6</v>
      </c>
      <c r="F410" s="1" t="s">
        <v>10</v>
      </c>
      <c r="G410" s="1" t="s">
        <v>2</v>
      </c>
      <c r="H410" s="1" t="s">
        <v>22</v>
      </c>
      <c r="I410" s="1" t="s">
        <v>51</v>
      </c>
      <c r="J410" s="1" t="s">
        <v>59</v>
      </c>
    </row>
    <row r="411" spans="1:10" x14ac:dyDescent="0.25">
      <c r="A411" s="1">
        <v>410</v>
      </c>
      <c r="B411" s="1" t="s">
        <v>505</v>
      </c>
      <c r="C411" s="1" t="s">
        <v>47</v>
      </c>
      <c r="D411" s="1" t="s">
        <v>18</v>
      </c>
      <c r="E411" s="1" t="s">
        <v>6</v>
      </c>
      <c r="F411" s="1" t="s">
        <v>10</v>
      </c>
      <c r="G411" s="1" t="s">
        <v>2</v>
      </c>
      <c r="H411" s="1" t="s">
        <v>22</v>
      </c>
      <c r="I411" s="1" t="s">
        <v>63</v>
      </c>
      <c r="J411" s="1" t="s">
        <v>59</v>
      </c>
    </row>
    <row r="412" spans="1:10" x14ac:dyDescent="0.25">
      <c r="A412" s="1">
        <v>411</v>
      </c>
      <c r="B412" s="1" t="s">
        <v>506</v>
      </c>
      <c r="C412" s="1" t="s">
        <v>47</v>
      </c>
      <c r="D412" s="1" t="s">
        <v>55</v>
      </c>
      <c r="E412" s="1" t="s">
        <v>6</v>
      </c>
      <c r="F412" s="1" t="s">
        <v>10</v>
      </c>
      <c r="G412" s="1" t="s">
        <v>2</v>
      </c>
      <c r="H412" s="1" t="s">
        <v>22</v>
      </c>
      <c r="I412" s="1" t="s">
        <v>63</v>
      </c>
      <c r="J412" s="1" t="s">
        <v>18</v>
      </c>
    </row>
    <row r="413" spans="1:10" x14ac:dyDescent="0.25">
      <c r="A413" s="1">
        <v>412</v>
      </c>
      <c r="B413" s="1" t="s">
        <v>507</v>
      </c>
      <c r="C413" s="1" t="s">
        <v>47</v>
      </c>
      <c r="D413" s="1" t="s">
        <v>55</v>
      </c>
      <c r="E413" s="1" t="s">
        <v>6</v>
      </c>
      <c r="F413" s="1" t="s">
        <v>10</v>
      </c>
      <c r="G413" s="1" t="s">
        <v>2</v>
      </c>
      <c r="H413" s="1" t="s">
        <v>22</v>
      </c>
      <c r="I413" s="1" t="s">
        <v>18</v>
      </c>
      <c r="J413" s="1" t="s">
        <v>59</v>
      </c>
    </row>
    <row r="414" spans="1:10" x14ac:dyDescent="0.25">
      <c r="A414" s="1">
        <v>413</v>
      </c>
      <c r="B414" s="1" t="s">
        <v>508</v>
      </c>
      <c r="C414" s="1" t="s">
        <v>47</v>
      </c>
      <c r="D414" s="1" t="s">
        <v>18</v>
      </c>
      <c r="E414" s="1" t="s">
        <v>6</v>
      </c>
      <c r="F414" s="1" t="s">
        <v>10</v>
      </c>
      <c r="G414" s="1" t="s">
        <v>2</v>
      </c>
      <c r="H414" s="1" t="s">
        <v>22</v>
      </c>
      <c r="I414" s="1" t="s">
        <v>63</v>
      </c>
      <c r="J414" s="1" t="s">
        <v>51</v>
      </c>
    </row>
    <row r="415" spans="1:10" x14ac:dyDescent="0.25">
      <c r="A415" s="1">
        <v>414</v>
      </c>
      <c r="B415" s="1" t="s">
        <v>509</v>
      </c>
      <c r="C415" s="1" t="s">
        <v>47</v>
      </c>
      <c r="D415" s="1" t="s">
        <v>18</v>
      </c>
      <c r="E415" s="1" t="s">
        <v>6</v>
      </c>
      <c r="F415" s="1" t="s">
        <v>10</v>
      </c>
      <c r="G415" s="1" t="s">
        <v>2</v>
      </c>
      <c r="H415" s="1" t="s">
        <v>22</v>
      </c>
      <c r="I415" s="1" t="s">
        <v>51</v>
      </c>
      <c r="J415" s="1" t="s">
        <v>59</v>
      </c>
    </row>
    <row r="416" spans="1:10" x14ac:dyDescent="0.25">
      <c r="A416" s="1">
        <v>415</v>
      </c>
      <c r="B416" s="1" t="s">
        <v>510</v>
      </c>
      <c r="C416" s="1" t="s">
        <v>47</v>
      </c>
      <c r="D416" s="1" t="s">
        <v>55</v>
      </c>
      <c r="E416" s="1" t="s">
        <v>6</v>
      </c>
      <c r="F416" s="1" t="s">
        <v>10</v>
      </c>
      <c r="G416" s="1" t="s">
        <v>2</v>
      </c>
      <c r="H416" s="1" t="s">
        <v>22</v>
      </c>
      <c r="I416" s="1" t="s">
        <v>18</v>
      </c>
      <c r="J416" s="1" t="s">
        <v>51</v>
      </c>
    </row>
    <row r="417" spans="1:10" x14ac:dyDescent="0.25">
      <c r="A417" s="1">
        <v>416</v>
      </c>
      <c r="B417" s="1" t="s">
        <v>511</v>
      </c>
      <c r="C417" s="1" t="s">
        <v>18</v>
      </c>
      <c r="D417" s="1" t="s">
        <v>43</v>
      </c>
      <c r="E417" s="1" t="s">
        <v>6</v>
      </c>
      <c r="F417" s="1" t="s">
        <v>10</v>
      </c>
      <c r="G417" s="1" t="s">
        <v>2</v>
      </c>
      <c r="H417" s="1" t="s">
        <v>22</v>
      </c>
      <c r="I417" s="1" t="s">
        <v>63</v>
      </c>
      <c r="J417" s="1" t="s">
        <v>59</v>
      </c>
    </row>
    <row r="418" spans="1:10" x14ac:dyDescent="0.25">
      <c r="A418" s="1">
        <v>417</v>
      </c>
      <c r="B418" s="1" t="s">
        <v>512</v>
      </c>
      <c r="C418" s="1" t="s">
        <v>18</v>
      </c>
      <c r="D418" s="1" t="s">
        <v>43</v>
      </c>
      <c r="E418" s="1" t="s">
        <v>6</v>
      </c>
      <c r="F418" s="1" t="s">
        <v>10</v>
      </c>
      <c r="G418" s="1" t="s">
        <v>2</v>
      </c>
      <c r="H418" s="1" t="s">
        <v>22</v>
      </c>
      <c r="I418" s="1" t="s">
        <v>63</v>
      </c>
      <c r="J418" s="1" t="s">
        <v>55</v>
      </c>
    </row>
    <row r="419" spans="1:10" x14ac:dyDescent="0.25">
      <c r="A419" s="1">
        <v>418</v>
      </c>
      <c r="B419" s="1" t="s">
        <v>513</v>
      </c>
      <c r="C419" s="1" t="s">
        <v>18</v>
      </c>
      <c r="D419" s="1" t="s">
        <v>43</v>
      </c>
      <c r="E419" s="1" t="s">
        <v>6</v>
      </c>
      <c r="F419" s="1" t="s">
        <v>10</v>
      </c>
      <c r="G419" s="1" t="s">
        <v>2</v>
      </c>
      <c r="H419" s="1" t="s">
        <v>22</v>
      </c>
      <c r="I419" s="1" t="s">
        <v>55</v>
      </c>
      <c r="J419" s="1" t="s">
        <v>59</v>
      </c>
    </row>
    <row r="420" spans="1:10" x14ac:dyDescent="0.25">
      <c r="A420" s="1">
        <v>419</v>
      </c>
      <c r="B420" s="1" t="s">
        <v>514</v>
      </c>
      <c r="C420" s="1" t="s">
        <v>18</v>
      </c>
      <c r="D420" s="1" t="s">
        <v>43</v>
      </c>
      <c r="E420" s="1" t="s">
        <v>6</v>
      </c>
      <c r="F420" s="1" t="s">
        <v>10</v>
      </c>
      <c r="G420" s="1" t="s">
        <v>2</v>
      </c>
      <c r="H420" s="1" t="s">
        <v>22</v>
      </c>
      <c r="I420" s="1" t="s">
        <v>63</v>
      </c>
      <c r="J420" s="1" t="s">
        <v>51</v>
      </c>
    </row>
    <row r="421" spans="1:10" x14ac:dyDescent="0.25">
      <c r="A421" s="1">
        <v>420</v>
      </c>
      <c r="B421" s="1" t="s">
        <v>515</v>
      </c>
      <c r="C421" s="1" t="s">
        <v>18</v>
      </c>
      <c r="D421" s="1" t="s">
        <v>43</v>
      </c>
      <c r="E421" s="1" t="s">
        <v>6</v>
      </c>
      <c r="F421" s="1" t="s">
        <v>10</v>
      </c>
      <c r="G421" s="1" t="s">
        <v>2</v>
      </c>
      <c r="H421" s="1" t="s">
        <v>22</v>
      </c>
      <c r="I421" s="1" t="s">
        <v>51</v>
      </c>
      <c r="J421" s="1" t="s">
        <v>59</v>
      </c>
    </row>
    <row r="422" spans="1:10" x14ac:dyDescent="0.25">
      <c r="A422" s="1">
        <v>421</v>
      </c>
      <c r="B422" s="1" t="s">
        <v>516</v>
      </c>
      <c r="C422" s="1" t="s">
        <v>18</v>
      </c>
      <c r="D422" s="1" t="s">
        <v>43</v>
      </c>
      <c r="E422" s="1" t="s">
        <v>6</v>
      </c>
      <c r="F422" s="1" t="s">
        <v>10</v>
      </c>
      <c r="G422" s="1" t="s">
        <v>2</v>
      </c>
      <c r="H422" s="1" t="s">
        <v>22</v>
      </c>
      <c r="I422" s="1" t="s">
        <v>51</v>
      </c>
      <c r="J422" s="1" t="s">
        <v>55</v>
      </c>
    </row>
    <row r="423" spans="1:10" x14ac:dyDescent="0.25">
      <c r="A423" s="1">
        <v>422</v>
      </c>
      <c r="B423" s="1" t="s">
        <v>517</v>
      </c>
      <c r="C423" s="1" t="s">
        <v>47</v>
      </c>
      <c r="D423" s="1" t="s">
        <v>43</v>
      </c>
      <c r="E423" s="1" t="s">
        <v>6</v>
      </c>
      <c r="F423" s="1" t="s">
        <v>10</v>
      </c>
      <c r="G423" s="1" t="s">
        <v>2</v>
      </c>
      <c r="H423" s="1" t="s">
        <v>22</v>
      </c>
      <c r="I423" s="1" t="s">
        <v>63</v>
      </c>
      <c r="J423" s="1" t="s">
        <v>18</v>
      </c>
    </row>
    <row r="424" spans="1:10" x14ac:dyDescent="0.25">
      <c r="A424" s="1">
        <v>423</v>
      </c>
      <c r="B424" s="1" t="s">
        <v>518</v>
      </c>
      <c r="C424" s="1" t="s">
        <v>47</v>
      </c>
      <c r="D424" s="1" t="s">
        <v>43</v>
      </c>
      <c r="E424" s="1" t="s">
        <v>6</v>
      </c>
      <c r="F424" s="1" t="s">
        <v>10</v>
      </c>
      <c r="G424" s="1" t="s">
        <v>2</v>
      </c>
      <c r="H424" s="1" t="s">
        <v>22</v>
      </c>
      <c r="I424" s="1" t="s">
        <v>18</v>
      </c>
      <c r="J424" s="1" t="s">
        <v>59</v>
      </c>
    </row>
    <row r="425" spans="1:10" x14ac:dyDescent="0.25">
      <c r="A425" s="1">
        <v>424</v>
      </c>
      <c r="B425" s="1" t="s">
        <v>519</v>
      </c>
      <c r="C425" s="1" t="s">
        <v>47</v>
      </c>
      <c r="D425" s="1" t="s">
        <v>43</v>
      </c>
      <c r="E425" s="1" t="s">
        <v>6</v>
      </c>
      <c r="F425" s="1" t="s">
        <v>10</v>
      </c>
      <c r="G425" s="1" t="s">
        <v>2</v>
      </c>
      <c r="H425" s="1" t="s">
        <v>22</v>
      </c>
      <c r="I425" s="1" t="s">
        <v>18</v>
      </c>
      <c r="J425" s="1" t="s">
        <v>55</v>
      </c>
    </row>
    <row r="426" spans="1:10" x14ac:dyDescent="0.25">
      <c r="A426" s="1">
        <v>425</v>
      </c>
      <c r="B426" s="1" t="s">
        <v>520</v>
      </c>
      <c r="C426" s="1" t="s">
        <v>47</v>
      </c>
      <c r="D426" s="1" t="s">
        <v>43</v>
      </c>
      <c r="E426" s="1" t="s">
        <v>6</v>
      </c>
      <c r="F426" s="1" t="s">
        <v>10</v>
      </c>
      <c r="G426" s="1" t="s">
        <v>2</v>
      </c>
      <c r="H426" s="1" t="s">
        <v>22</v>
      </c>
      <c r="I426" s="1" t="s">
        <v>18</v>
      </c>
      <c r="J426" s="1" t="s">
        <v>51</v>
      </c>
    </row>
    <row r="427" spans="1:10" x14ac:dyDescent="0.25">
      <c r="A427" s="1">
        <v>426</v>
      </c>
      <c r="B427" s="1" t="s">
        <v>521</v>
      </c>
      <c r="C427" s="1" t="s">
        <v>51</v>
      </c>
      <c r="D427" s="1" t="s">
        <v>55</v>
      </c>
      <c r="E427" s="1" t="s">
        <v>6</v>
      </c>
      <c r="F427" s="1" t="s">
        <v>10</v>
      </c>
      <c r="G427" s="1" t="s">
        <v>2</v>
      </c>
      <c r="H427" s="1" t="s">
        <v>14</v>
      </c>
      <c r="I427" s="1" t="s">
        <v>63</v>
      </c>
      <c r="J427" s="1" t="s">
        <v>59</v>
      </c>
    </row>
    <row r="428" spans="1:10" x14ac:dyDescent="0.25">
      <c r="A428" s="1">
        <v>427</v>
      </c>
      <c r="B428" s="1" t="s">
        <v>522</v>
      </c>
      <c r="C428" s="1" t="s">
        <v>47</v>
      </c>
      <c r="D428" s="1" t="s">
        <v>55</v>
      </c>
      <c r="E428" s="1" t="s">
        <v>6</v>
      </c>
      <c r="F428" s="1" t="s">
        <v>10</v>
      </c>
      <c r="G428" s="1" t="s">
        <v>2</v>
      </c>
      <c r="H428" s="1" t="s">
        <v>14</v>
      </c>
      <c r="I428" s="1" t="s">
        <v>63</v>
      </c>
      <c r="J428" s="1" t="s">
        <v>59</v>
      </c>
    </row>
    <row r="429" spans="1:10" x14ac:dyDescent="0.25">
      <c r="A429" s="1">
        <v>428</v>
      </c>
      <c r="B429" s="1" t="s">
        <v>523</v>
      </c>
      <c r="C429" s="1" t="s">
        <v>47</v>
      </c>
      <c r="D429" s="1" t="s">
        <v>51</v>
      </c>
      <c r="E429" s="1" t="s">
        <v>6</v>
      </c>
      <c r="F429" s="1" t="s">
        <v>10</v>
      </c>
      <c r="G429" s="1" t="s">
        <v>2</v>
      </c>
      <c r="H429" s="1" t="s">
        <v>14</v>
      </c>
      <c r="I429" s="1" t="s">
        <v>63</v>
      </c>
      <c r="J429" s="1" t="s">
        <v>59</v>
      </c>
    </row>
    <row r="430" spans="1:10" x14ac:dyDescent="0.25">
      <c r="A430" s="1">
        <v>429</v>
      </c>
      <c r="B430" s="1" t="s">
        <v>524</v>
      </c>
      <c r="C430" s="1" t="s">
        <v>47</v>
      </c>
      <c r="D430" s="1" t="s">
        <v>55</v>
      </c>
      <c r="E430" s="1" t="s">
        <v>6</v>
      </c>
      <c r="F430" s="1" t="s">
        <v>10</v>
      </c>
      <c r="G430" s="1" t="s">
        <v>2</v>
      </c>
      <c r="H430" s="1" t="s">
        <v>14</v>
      </c>
      <c r="I430" s="1" t="s">
        <v>63</v>
      </c>
      <c r="J430" s="1" t="s">
        <v>51</v>
      </c>
    </row>
    <row r="431" spans="1:10" x14ac:dyDescent="0.25">
      <c r="A431" s="1">
        <v>430</v>
      </c>
      <c r="B431" s="1" t="s">
        <v>525</v>
      </c>
      <c r="C431" s="1" t="s">
        <v>47</v>
      </c>
      <c r="D431" s="1" t="s">
        <v>55</v>
      </c>
      <c r="E431" s="1" t="s">
        <v>6</v>
      </c>
      <c r="F431" s="1" t="s">
        <v>10</v>
      </c>
      <c r="G431" s="1" t="s">
        <v>2</v>
      </c>
      <c r="H431" s="1" t="s">
        <v>14</v>
      </c>
      <c r="I431" s="1" t="s">
        <v>51</v>
      </c>
      <c r="J431" s="1" t="s">
        <v>59</v>
      </c>
    </row>
    <row r="432" spans="1:10" x14ac:dyDescent="0.25">
      <c r="A432" s="1">
        <v>431</v>
      </c>
      <c r="B432" s="1" t="s">
        <v>526</v>
      </c>
      <c r="C432" s="1" t="s">
        <v>10</v>
      </c>
      <c r="D432" s="1" t="s">
        <v>55</v>
      </c>
      <c r="E432" s="1" t="s">
        <v>6</v>
      </c>
      <c r="F432" s="1" t="s">
        <v>14</v>
      </c>
      <c r="G432" s="1" t="s">
        <v>2</v>
      </c>
      <c r="H432" s="1" t="s">
        <v>43</v>
      </c>
      <c r="I432" s="1" t="s">
        <v>63</v>
      </c>
      <c r="J432" s="1" t="s">
        <v>59</v>
      </c>
    </row>
    <row r="433" spans="1:10" x14ac:dyDescent="0.25">
      <c r="A433" s="1">
        <v>432</v>
      </c>
      <c r="B433" s="1" t="s">
        <v>527</v>
      </c>
      <c r="C433" s="1" t="s">
        <v>51</v>
      </c>
      <c r="D433" s="1" t="s">
        <v>43</v>
      </c>
      <c r="E433" s="1" t="s">
        <v>6</v>
      </c>
      <c r="F433" s="1" t="s">
        <v>10</v>
      </c>
      <c r="G433" s="1" t="s">
        <v>2</v>
      </c>
      <c r="H433" s="1" t="s">
        <v>14</v>
      </c>
      <c r="I433" s="1" t="s">
        <v>63</v>
      </c>
      <c r="J433" s="1" t="s">
        <v>59</v>
      </c>
    </row>
    <row r="434" spans="1:10" x14ac:dyDescent="0.25">
      <c r="A434" s="1">
        <v>433</v>
      </c>
      <c r="B434" s="1" t="s">
        <v>528</v>
      </c>
      <c r="C434" s="1" t="s">
        <v>10</v>
      </c>
      <c r="D434" s="1" t="s">
        <v>55</v>
      </c>
      <c r="E434" s="1" t="s">
        <v>6</v>
      </c>
      <c r="F434" s="1" t="s">
        <v>14</v>
      </c>
      <c r="G434" s="1" t="s">
        <v>2</v>
      </c>
      <c r="H434" s="1" t="s">
        <v>43</v>
      </c>
      <c r="I434" s="1" t="s">
        <v>63</v>
      </c>
      <c r="J434" s="1" t="s">
        <v>51</v>
      </c>
    </row>
    <row r="435" spans="1:10" x14ac:dyDescent="0.25">
      <c r="A435" s="1">
        <v>434</v>
      </c>
      <c r="B435" s="1" t="s">
        <v>529</v>
      </c>
      <c r="C435" s="1" t="s">
        <v>10</v>
      </c>
      <c r="D435" s="1" t="s">
        <v>55</v>
      </c>
      <c r="E435" s="1" t="s">
        <v>6</v>
      </c>
      <c r="F435" s="1" t="s">
        <v>14</v>
      </c>
      <c r="G435" s="1" t="s">
        <v>2</v>
      </c>
      <c r="H435" s="1" t="s">
        <v>43</v>
      </c>
      <c r="I435" s="1" t="s">
        <v>51</v>
      </c>
      <c r="J435" s="1" t="s">
        <v>59</v>
      </c>
    </row>
    <row r="436" spans="1:10" x14ac:dyDescent="0.25">
      <c r="A436" s="1">
        <v>435</v>
      </c>
      <c r="B436" s="1" t="s">
        <v>530</v>
      </c>
      <c r="C436" s="1" t="s">
        <v>47</v>
      </c>
      <c r="D436" s="1" t="s">
        <v>43</v>
      </c>
      <c r="E436" s="1" t="s">
        <v>6</v>
      </c>
      <c r="F436" s="1" t="s">
        <v>10</v>
      </c>
      <c r="G436" s="1" t="s">
        <v>2</v>
      </c>
      <c r="H436" s="1" t="s">
        <v>14</v>
      </c>
      <c r="I436" s="1" t="s">
        <v>63</v>
      </c>
      <c r="J436" s="1" t="s">
        <v>59</v>
      </c>
    </row>
    <row r="437" spans="1:10" x14ac:dyDescent="0.25">
      <c r="A437" s="1">
        <v>436</v>
      </c>
      <c r="B437" s="1" t="s">
        <v>531</v>
      </c>
      <c r="C437" s="1" t="s">
        <v>47</v>
      </c>
      <c r="D437" s="1" t="s">
        <v>43</v>
      </c>
      <c r="E437" s="1" t="s">
        <v>6</v>
      </c>
      <c r="F437" s="1" t="s">
        <v>10</v>
      </c>
      <c r="G437" s="1" t="s">
        <v>2</v>
      </c>
      <c r="H437" s="1" t="s">
        <v>14</v>
      </c>
      <c r="I437" s="1" t="s">
        <v>63</v>
      </c>
      <c r="J437" s="1" t="s">
        <v>55</v>
      </c>
    </row>
    <row r="438" spans="1:10" x14ac:dyDescent="0.25">
      <c r="A438" s="1">
        <v>437</v>
      </c>
      <c r="B438" s="1" t="s">
        <v>532</v>
      </c>
      <c r="C438" s="1" t="s">
        <v>47</v>
      </c>
      <c r="D438" s="1" t="s">
        <v>43</v>
      </c>
      <c r="E438" s="1" t="s">
        <v>6</v>
      </c>
      <c r="F438" s="1" t="s">
        <v>10</v>
      </c>
      <c r="G438" s="1" t="s">
        <v>2</v>
      </c>
      <c r="H438" s="1" t="s">
        <v>14</v>
      </c>
      <c r="I438" s="1" t="s">
        <v>55</v>
      </c>
      <c r="J438" s="1" t="s">
        <v>59</v>
      </c>
    </row>
    <row r="439" spans="1:10" x14ac:dyDescent="0.25">
      <c r="A439" s="1">
        <v>438</v>
      </c>
      <c r="B439" s="1" t="s">
        <v>533</v>
      </c>
      <c r="C439" s="1" t="s">
        <v>47</v>
      </c>
      <c r="D439" s="1" t="s">
        <v>43</v>
      </c>
      <c r="E439" s="1" t="s">
        <v>6</v>
      </c>
      <c r="F439" s="1" t="s">
        <v>10</v>
      </c>
      <c r="G439" s="1" t="s">
        <v>2</v>
      </c>
      <c r="H439" s="1" t="s">
        <v>14</v>
      </c>
      <c r="I439" s="1" t="s">
        <v>63</v>
      </c>
      <c r="J439" s="1" t="s">
        <v>51</v>
      </c>
    </row>
    <row r="440" spans="1:10" x14ac:dyDescent="0.25">
      <c r="A440" s="1">
        <v>439</v>
      </c>
      <c r="B440" s="1" t="s">
        <v>534</v>
      </c>
      <c r="C440" s="1" t="s">
        <v>47</v>
      </c>
      <c r="D440" s="1" t="s">
        <v>43</v>
      </c>
      <c r="E440" s="1" t="s">
        <v>6</v>
      </c>
      <c r="F440" s="1" t="s">
        <v>10</v>
      </c>
      <c r="G440" s="1" t="s">
        <v>2</v>
      </c>
      <c r="H440" s="1" t="s">
        <v>14</v>
      </c>
      <c r="I440" s="1" t="s">
        <v>51</v>
      </c>
      <c r="J440" s="1" t="s">
        <v>59</v>
      </c>
    </row>
    <row r="441" spans="1:10" x14ac:dyDescent="0.25">
      <c r="A441" s="1">
        <v>440</v>
      </c>
      <c r="B441" s="1" t="s">
        <v>535</v>
      </c>
      <c r="C441" s="1" t="s">
        <v>47</v>
      </c>
      <c r="D441" s="1" t="s">
        <v>43</v>
      </c>
      <c r="E441" s="1" t="s">
        <v>6</v>
      </c>
      <c r="F441" s="1" t="s">
        <v>10</v>
      </c>
      <c r="G441" s="1" t="s">
        <v>2</v>
      </c>
      <c r="H441" s="1" t="s">
        <v>14</v>
      </c>
      <c r="I441" s="1" t="s">
        <v>51</v>
      </c>
      <c r="J441" s="1" t="s">
        <v>55</v>
      </c>
    </row>
    <row r="442" spans="1:10" x14ac:dyDescent="0.25">
      <c r="A442" s="1">
        <v>441</v>
      </c>
      <c r="B442" s="1" t="s">
        <v>536</v>
      </c>
      <c r="C442" s="1" t="s">
        <v>10</v>
      </c>
      <c r="D442" s="1" t="s">
        <v>55</v>
      </c>
      <c r="E442" s="1" t="s">
        <v>6</v>
      </c>
      <c r="F442" s="1" t="s">
        <v>14</v>
      </c>
      <c r="G442" s="1" t="s">
        <v>2</v>
      </c>
      <c r="H442" s="1" t="s">
        <v>22</v>
      </c>
      <c r="I442" s="1" t="s">
        <v>63</v>
      </c>
      <c r="J442" s="1" t="s">
        <v>59</v>
      </c>
    </row>
    <row r="443" spans="1:10" x14ac:dyDescent="0.25">
      <c r="A443" s="1">
        <v>442</v>
      </c>
      <c r="B443" s="1" t="s">
        <v>537</v>
      </c>
      <c r="C443" s="1" t="s">
        <v>10</v>
      </c>
      <c r="D443" s="1" t="s">
        <v>51</v>
      </c>
      <c r="E443" s="1" t="s">
        <v>6</v>
      </c>
      <c r="F443" s="1" t="s">
        <v>14</v>
      </c>
      <c r="G443" s="1" t="s">
        <v>2</v>
      </c>
      <c r="H443" s="1" t="s">
        <v>22</v>
      </c>
      <c r="I443" s="1" t="s">
        <v>63</v>
      </c>
      <c r="J443" s="1" t="s">
        <v>59</v>
      </c>
    </row>
    <row r="444" spans="1:10" x14ac:dyDescent="0.25">
      <c r="A444" s="1">
        <v>443</v>
      </c>
      <c r="B444" s="1" t="s">
        <v>538</v>
      </c>
      <c r="C444" s="1" t="s">
        <v>10</v>
      </c>
      <c r="D444" s="1" t="s">
        <v>55</v>
      </c>
      <c r="E444" s="1" t="s">
        <v>6</v>
      </c>
      <c r="F444" s="1" t="s">
        <v>14</v>
      </c>
      <c r="G444" s="1" t="s">
        <v>2</v>
      </c>
      <c r="H444" s="1" t="s">
        <v>22</v>
      </c>
      <c r="I444" s="1" t="s">
        <v>63</v>
      </c>
      <c r="J444" s="1" t="s">
        <v>51</v>
      </c>
    </row>
    <row r="445" spans="1:10" x14ac:dyDescent="0.25">
      <c r="A445" s="1">
        <v>444</v>
      </c>
      <c r="B445" s="1" t="s">
        <v>539</v>
      </c>
      <c r="C445" s="1" t="s">
        <v>10</v>
      </c>
      <c r="D445" s="1" t="s">
        <v>55</v>
      </c>
      <c r="E445" s="1" t="s">
        <v>6</v>
      </c>
      <c r="F445" s="1" t="s">
        <v>14</v>
      </c>
      <c r="G445" s="1" t="s">
        <v>2</v>
      </c>
      <c r="H445" s="1" t="s">
        <v>22</v>
      </c>
      <c r="I445" s="1" t="s">
        <v>51</v>
      </c>
      <c r="J445" s="1" t="s">
        <v>59</v>
      </c>
    </row>
    <row r="446" spans="1:10" x14ac:dyDescent="0.25">
      <c r="A446" s="1">
        <v>445</v>
      </c>
      <c r="B446" s="1" t="s">
        <v>540</v>
      </c>
      <c r="C446" s="1" t="s">
        <v>47</v>
      </c>
      <c r="D446" s="1" t="s">
        <v>22</v>
      </c>
      <c r="E446" s="1" t="s">
        <v>6</v>
      </c>
      <c r="F446" s="1" t="s">
        <v>10</v>
      </c>
      <c r="G446" s="1" t="s">
        <v>2</v>
      </c>
      <c r="H446" s="1" t="s">
        <v>14</v>
      </c>
      <c r="I446" s="1" t="s">
        <v>63</v>
      </c>
      <c r="J446" s="1" t="s">
        <v>59</v>
      </c>
    </row>
    <row r="447" spans="1:10" x14ac:dyDescent="0.25">
      <c r="A447" s="1">
        <v>446</v>
      </c>
      <c r="B447" s="1" t="s">
        <v>541</v>
      </c>
      <c r="C447" s="1" t="s">
        <v>10</v>
      </c>
      <c r="D447" s="1" t="s">
        <v>55</v>
      </c>
      <c r="E447" s="1" t="s">
        <v>6</v>
      </c>
      <c r="F447" s="1" t="s">
        <v>14</v>
      </c>
      <c r="G447" s="1" t="s">
        <v>2</v>
      </c>
      <c r="H447" s="1" t="s">
        <v>22</v>
      </c>
      <c r="I447" s="1" t="s">
        <v>63</v>
      </c>
      <c r="J447" s="1" t="s">
        <v>47</v>
      </c>
    </row>
    <row r="448" spans="1:10" x14ac:dyDescent="0.25">
      <c r="A448" s="1">
        <v>447</v>
      </c>
      <c r="B448" s="1" t="s">
        <v>542</v>
      </c>
      <c r="C448" s="1" t="s">
        <v>47</v>
      </c>
      <c r="D448" s="1" t="s">
        <v>55</v>
      </c>
      <c r="E448" s="1" t="s">
        <v>6</v>
      </c>
      <c r="F448" s="1" t="s">
        <v>10</v>
      </c>
      <c r="G448" s="1" t="s">
        <v>2</v>
      </c>
      <c r="H448" s="1" t="s">
        <v>22</v>
      </c>
      <c r="I448" s="1" t="s">
        <v>14</v>
      </c>
      <c r="J448" s="1" t="s">
        <v>59</v>
      </c>
    </row>
    <row r="449" spans="1:10" x14ac:dyDescent="0.25">
      <c r="A449" s="1">
        <v>448</v>
      </c>
      <c r="B449" s="1" t="s">
        <v>543</v>
      </c>
      <c r="C449" s="1" t="s">
        <v>47</v>
      </c>
      <c r="D449" s="1" t="s">
        <v>22</v>
      </c>
      <c r="E449" s="1" t="s">
        <v>6</v>
      </c>
      <c r="F449" s="1" t="s">
        <v>10</v>
      </c>
      <c r="G449" s="1" t="s">
        <v>2</v>
      </c>
      <c r="H449" s="1" t="s">
        <v>14</v>
      </c>
      <c r="I449" s="1" t="s">
        <v>63</v>
      </c>
      <c r="J449" s="1" t="s">
        <v>51</v>
      </c>
    </row>
    <row r="450" spans="1:10" x14ac:dyDescent="0.25">
      <c r="A450" s="1">
        <v>449</v>
      </c>
      <c r="B450" s="1" t="s">
        <v>544</v>
      </c>
      <c r="C450" s="1" t="s">
        <v>47</v>
      </c>
      <c r="D450" s="1" t="s">
        <v>22</v>
      </c>
      <c r="E450" s="1" t="s">
        <v>6</v>
      </c>
      <c r="F450" s="1" t="s">
        <v>10</v>
      </c>
      <c r="G450" s="1" t="s">
        <v>2</v>
      </c>
      <c r="H450" s="1" t="s">
        <v>14</v>
      </c>
      <c r="I450" s="1" t="s">
        <v>51</v>
      </c>
      <c r="J450" s="1" t="s">
        <v>59</v>
      </c>
    </row>
    <row r="451" spans="1:10" x14ac:dyDescent="0.25">
      <c r="A451" s="1">
        <v>450</v>
      </c>
      <c r="B451" s="1" t="s">
        <v>545</v>
      </c>
      <c r="C451" s="1" t="s">
        <v>47</v>
      </c>
      <c r="D451" s="1" t="s">
        <v>55</v>
      </c>
      <c r="E451" s="1" t="s">
        <v>6</v>
      </c>
      <c r="F451" s="1" t="s">
        <v>10</v>
      </c>
      <c r="G451" s="1" t="s">
        <v>2</v>
      </c>
      <c r="H451" s="1" t="s">
        <v>22</v>
      </c>
      <c r="I451" s="1" t="s">
        <v>14</v>
      </c>
      <c r="J451" s="1" t="s">
        <v>51</v>
      </c>
    </row>
    <row r="452" spans="1:10" x14ac:dyDescent="0.25">
      <c r="A452" s="1">
        <v>451</v>
      </c>
      <c r="B452" s="1" t="s">
        <v>546</v>
      </c>
      <c r="C452" s="1" t="s">
        <v>10</v>
      </c>
      <c r="D452" s="1" t="s">
        <v>43</v>
      </c>
      <c r="E452" s="1" t="s">
        <v>6</v>
      </c>
      <c r="F452" s="1" t="s">
        <v>14</v>
      </c>
      <c r="G452" s="1" t="s">
        <v>2</v>
      </c>
      <c r="H452" s="1" t="s">
        <v>22</v>
      </c>
      <c r="I452" s="1" t="s">
        <v>63</v>
      </c>
      <c r="J452" s="1" t="s">
        <v>59</v>
      </c>
    </row>
    <row r="453" spans="1:10" x14ac:dyDescent="0.25">
      <c r="A453" s="1">
        <v>452</v>
      </c>
      <c r="B453" s="1" t="s">
        <v>547</v>
      </c>
      <c r="C453" s="1" t="s">
        <v>10</v>
      </c>
      <c r="D453" s="1" t="s">
        <v>43</v>
      </c>
      <c r="E453" s="1" t="s">
        <v>6</v>
      </c>
      <c r="F453" s="1" t="s">
        <v>14</v>
      </c>
      <c r="G453" s="1" t="s">
        <v>2</v>
      </c>
      <c r="H453" s="1" t="s">
        <v>22</v>
      </c>
      <c r="I453" s="1" t="s">
        <v>63</v>
      </c>
      <c r="J453" s="1" t="s">
        <v>55</v>
      </c>
    </row>
    <row r="454" spans="1:10" x14ac:dyDescent="0.25">
      <c r="A454" s="1">
        <v>453</v>
      </c>
      <c r="B454" s="1" t="s">
        <v>548</v>
      </c>
      <c r="C454" s="1" t="s">
        <v>10</v>
      </c>
      <c r="D454" s="1" t="s">
        <v>43</v>
      </c>
      <c r="E454" s="1" t="s">
        <v>6</v>
      </c>
      <c r="F454" s="1" t="s">
        <v>14</v>
      </c>
      <c r="G454" s="1" t="s">
        <v>2</v>
      </c>
      <c r="H454" s="1" t="s">
        <v>22</v>
      </c>
      <c r="I454" s="1" t="s">
        <v>55</v>
      </c>
      <c r="J454" s="1" t="s">
        <v>59</v>
      </c>
    </row>
    <row r="455" spans="1:10" x14ac:dyDescent="0.25">
      <c r="A455" s="1">
        <v>454</v>
      </c>
      <c r="B455" s="1" t="s">
        <v>549</v>
      </c>
      <c r="C455" s="1" t="s">
        <v>10</v>
      </c>
      <c r="D455" s="1" t="s">
        <v>43</v>
      </c>
      <c r="E455" s="1" t="s">
        <v>6</v>
      </c>
      <c r="F455" s="1" t="s">
        <v>14</v>
      </c>
      <c r="G455" s="1" t="s">
        <v>2</v>
      </c>
      <c r="H455" s="1" t="s">
        <v>22</v>
      </c>
      <c r="I455" s="1" t="s">
        <v>63</v>
      </c>
      <c r="J455" s="1" t="s">
        <v>51</v>
      </c>
    </row>
    <row r="456" spans="1:10" x14ac:dyDescent="0.25">
      <c r="A456" s="1">
        <v>455</v>
      </c>
      <c r="B456" s="1" t="s">
        <v>550</v>
      </c>
      <c r="C456" s="1" t="s">
        <v>10</v>
      </c>
      <c r="D456" s="1" t="s">
        <v>43</v>
      </c>
      <c r="E456" s="1" t="s">
        <v>6</v>
      </c>
      <c r="F456" s="1" t="s">
        <v>14</v>
      </c>
      <c r="G456" s="1" t="s">
        <v>2</v>
      </c>
      <c r="H456" s="1" t="s">
        <v>22</v>
      </c>
      <c r="I456" s="1" t="s">
        <v>51</v>
      </c>
      <c r="J456" s="1" t="s">
        <v>59</v>
      </c>
    </row>
    <row r="457" spans="1:10" x14ac:dyDescent="0.25">
      <c r="A457" s="1">
        <v>456</v>
      </c>
      <c r="B457" s="1" t="s">
        <v>551</v>
      </c>
      <c r="C457" s="1" t="s">
        <v>10</v>
      </c>
      <c r="D457" s="1" t="s">
        <v>43</v>
      </c>
      <c r="E457" s="1" t="s">
        <v>6</v>
      </c>
      <c r="F457" s="1" t="s">
        <v>14</v>
      </c>
      <c r="G457" s="1" t="s">
        <v>2</v>
      </c>
      <c r="H457" s="1" t="s">
        <v>22</v>
      </c>
      <c r="I457" s="1" t="s">
        <v>51</v>
      </c>
      <c r="J457" s="1" t="s">
        <v>55</v>
      </c>
    </row>
    <row r="458" spans="1:10" x14ac:dyDescent="0.25">
      <c r="A458" s="1">
        <v>457</v>
      </c>
      <c r="B458" s="1" t="s">
        <v>552</v>
      </c>
      <c r="C458" s="1" t="s">
        <v>10</v>
      </c>
      <c r="D458" s="1" t="s">
        <v>43</v>
      </c>
      <c r="E458" s="1" t="s">
        <v>6</v>
      </c>
      <c r="F458" s="1" t="s">
        <v>14</v>
      </c>
      <c r="G458" s="1" t="s">
        <v>2</v>
      </c>
      <c r="H458" s="1" t="s">
        <v>22</v>
      </c>
      <c r="I458" s="1" t="s">
        <v>63</v>
      </c>
      <c r="J458" s="1" t="s">
        <v>47</v>
      </c>
    </row>
    <row r="459" spans="1:10" x14ac:dyDescent="0.25">
      <c r="A459" s="1">
        <v>458</v>
      </c>
      <c r="B459" s="1" t="s">
        <v>553</v>
      </c>
      <c r="C459" s="1" t="s">
        <v>47</v>
      </c>
      <c r="D459" s="1" t="s">
        <v>43</v>
      </c>
      <c r="E459" s="1" t="s">
        <v>6</v>
      </c>
      <c r="F459" s="1" t="s">
        <v>10</v>
      </c>
      <c r="G459" s="1" t="s">
        <v>2</v>
      </c>
      <c r="H459" s="1" t="s">
        <v>22</v>
      </c>
      <c r="I459" s="1" t="s">
        <v>14</v>
      </c>
      <c r="J459" s="1" t="s">
        <v>59</v>
      </c>
    </row>
    <row r="460" spans="1:10" x14ac:dyDescent="0.25">
      <c r="A460" s="1">
        <v>459</v>
      </c>
      <c r="B460" s="1" t="s">
        <v>554</v>
      </c>
      <c r="C460" s="1" t="s">
        <v>47</v>
      </c>
      <c r="D460" s="1" t="s">
        <v>43</v>
      </c>
      <c r="E460" s="1" t="s">
        <v>6</v>
      </c>
      <c r="F460" s="1" t="s">
        <v>10</v>
      </c>
      <c r="G460" s="1" t="s">
        <v>2</v>
      </c>
      <c r="H460" s="1" t="s">
        <v>22</v>
      </c>
      <c r="I460" s="1" t="s">
        <v>14</v>
      </c>
      <c r="J460" s="1" t="s">
        <v>55</v>
      </c>
    </row>
    <row r="461" spans="1:10" x14ac:dyDescent="0.25">
      <c r="A461" s="1">
        <v>460</v>
      </c>
      <c r="B461" s="1" t="s">
        <v>555</v>
      </c>
      <c r="C461" s="1" t="s">
        <v>47</v>
      </c>
      <c r="D461" s="1" t="s">
        <v>43</v>
      </c>
      <c r="E461" s="1" t="s">
        <v>6</v>
      </c>
      <c r="F461" s="1" t="s">
        <v>10</v>
      </c>
      <c r="G461" s="1" t="s">
        <v>2</v>
      </c>
      <c r="H461" s="1" t="s">
        <v>22</v>
      </c>
      <c r="I461" s="1" t="s">
        <v>14</v>
      </c>
      <c r="J461" s="1" t="s">
        <v>51</v>
      </c>
    </row>
    <row r="462" spans="1:10" x14ac:dyDescent="0.25">
      <c r="A462" s="1">
        <v>461</v>
      </c>
      <c r="B462" s="1" t="s">
        <v>556</v>
      </c>
      <c r="C462" s="1" t="s">
        <v>18</v>
      </c>
      <c r="D462" s="1" t="s">
        <v>55</v>
      </c>
      <c r="E462" s="1" t="s">
        <v>6</v>
      </c>
      <c r="F462" s="1" t="s">
        <v>10</v>
      </c>
      <c r="G462" s="1" t="s">
        <v>2</v>
      </c>
      <c r="H462" s="1" t="s">
        <v>14</v>
      </c>
      <c r="I462" s="1" t="s">
        <v>63</v>
      </c>
      <c r="J462" s="1" t="s">
        <v>59</v>
      </c>
    </row>
    <row r="463" spans="1:10" x14ac:dyDescent="0.25">
      <c r="A463" s="1">
        <v>462</v>
      </c>
      <c r="B463" s="1" t="s">
        <v>557</v>
      </c>
      <c r="C463" s="1" t="s">
        <v>18</v>
      </c>
      <c r="D463" s="1" t="s">
        <v>51</v>
      </c>
      <c r="E463" s="1" t="s">
        <v>6</v>
      </c>
      <c r="F463" s="1" t="s">
        <v>10</v>
      </c>
      <c r="G463" s="1" t="s">
        <v>2</v>
      </c>
      <c r="H463" s="1" t="s">
        <v>14</v>
      </c>
      <c r="I463" s="1" t="s">
        <v>63</v>
      </c>
      <c r="J463" s="1" t="s">
        <v>59</v>
      </c>
    </row>
    <row r="464" spans="1:10" x14ac:dyDescent="0.25">
      <c r="A464" s="1">
        <v>463</v>
      </c>
      <c r="B464" s="1" t="s">
        <v>558</v>
      </c>
      <c r="C464" s="1" t="s">
        <v>18</v>
      </c>
      <c r="D464" s="1" t="s">
        <v>55</v>
      </c>
      <c r="E464" s="1" t="s">
        <v>6</v>
      </c>
      <c r="F464" s="1" t="s">
        <v>10</v>
      </c>
      <c r="G464" s="1" t="s">
        <v>2</v>
      </c>
      <c r="H464" s="1" t="s">
        <v>14</v>
      </c>
      <c r="I464" s="1" t="s">
        <v>63</v>
      </c>
      <c r="J464" s="1" t="s">
        <v>51</v>
      </c>
    </row>
    <row r="465" spans="1:10" x14ac:dyDescent="0.25">
      <c r="A465" s="1">
        <v>464</v>
      </c>
      <c r="B465" s="1" t="s">
        <v>559</v>
      </c>
      <c r="C465" s="1" t="s">
        <v>18</v>
      </c>
      <c r="D465" s="1" t="s">
        <v>55</v>
      </c>
      <c r="E465" s="1" t="s">
        <v>6</v>
      </c>
      <c r="F465" s="1" t="s">
        <v>10</v>
      </c>
      <c r="G465" s="1" t="s">
        <v>2</v>
      </c>
      <c r="H465" s="1" t="s">
        <v>14</v>
      </c>
      <c r="I465" s="1" t="s">
        <v>51</v>
      </c>
      <c r="J465" s="1" t="s">
        <v>59</v>
      </c>
    </row>
    <row r="466" spans="1:10" x14ac:dyDescent="0.25">
      <c r="A466" s="1">
        <v>465</v>
      </c>
      <c r="B466" s="1" t="s">
        <v>560</v>
      </c>
      <c r="C466" s="1" t="s">
        <v>47</v>
      </c>
      <c r="D466" s="1" t="s">
        <v>18</v>
      </c>
      <c r="E466" s="1" t="s">
        <v>6</v>
      </c>
      <c r="F466" s="1" t="s">
        <v>10</v>
      </c>
      <c r="G466" s="1" t="s">
        <v>2</v>
      </c>
      <c r="H466" s="1" t="s">
        <v>14</v>
      </c>
      <c r="I466" s="1" t="s">
        <v>63</v>
      </c>
      <c r="J466" s="1" t="s">
        <v>59</v>
      </c>
    </row>
    <row r="467" spans="1:10" x14ac:dyDescent="0.25">
      <c r="A467" s="1">
        <v>466</v>
      </c>
      <c r="B467" s="1" t="s">
        <v>561</v>
      </c>
      <c r="C467" s="1" t="s">
        <v>47</v>
      </c>
      <c r="D467" s="1" t="s">
        <v>55</v>
      </c>
      <c r="E467" s="1" t="s">
        <v>6</v>
      </c>
      <c r="F467" s="1" t="s">
        <v>10</v>
      </c>
      <c r="G467" s="1" t="s">
        <v>2</v>
      </c>
      <c r="H467" s="1" t="s">
        <v>14</v>
      </c>
      <c r="I467" s="1" t="s">
        <v>63</v>
      </c>
      <c r="J467" s="1" t="s">
        <v>18</v>
      </c>
    </row>
    <row r="468" spans="1:10" x14ac:dyDescent="0.25">
      <c r="A468" s="1">
        <v>467</v>
      </c>
      <c r="B468" s="1" t="s">
        <v>562</v>
      </c>
      <c r="C468" s="1" t="s">
        <v>47</v>
      </c>
      <c r="D468" s="1" t="s">
        <v>55</v>
      </c>
      <c r="E468" s="1" t="s">
        <v>6</v>
      </c>
      <c r="F468" s="1" t="s">
        <v>10</v>
      </c>
      <c r="G468" s="1" t="s">
        <v>2</v>
      </c>
      <c r="H468" s="1" t="s">
        <v>14</v>
      </c>
      <c r="I468" s="1" t="s">
        <v>18</v>
      </c>
      <c r="J468" s="1" t="s">
        <v>59</v>
      </c>
    </row>
    <row r="469" spans="1:10" x14ac:dyDescent="0.25">
      <c r="A469" s="1">
        <v>468</v>
      </c>
      <c r="B469" s="1" t="s">
        <v>563</v>
      </c>
      <c r="C469" s="1" t="s">
        <v>47</v>
      </c>
      <c r="D469" s="1" t="s">
        <v>18</v>
      </c>
      <c r="E469" s="1" t="s">
        <v>6</v>
      </c>
      <c r="F469" s="1" t="s">
        <v>10</v>
      </c>
      <c r="G469" s="1" t="s">
        <v>2</v>
      </c>
      <c r="H469" s="1" t="s">
        <v>14</v>
      </c>
      <c r="I469" s="1" t="s">
        <v>63</v>
      </c>
      <c r="J469" s="1" t="s">
        <v>51</v>
      </c>
    </row>
    <row r="470" spans="1:10" x14ac:dyDescent="0.25">
      <c r="A470" s="1">
        <v>469</v>
      </c>
      <c r="B470" s="1" t="s">
        <v>564</v>
      </c>
      <c r="C470" s="1" t="s">
        <v>47</v>
      </c>
      <c r="D470" s="1" t="s">
        <v>18</v>
      </c>
      <c r="E470" s="1" t="s">
        <v>6</v>
      </c>
      <c r="F470" s="1" t="s">
        <v>10</v>
      </c>
      <c r="G470" s="1" t="s">
        <v>2</v>
      </c>
      <c r="H470" s="1" t="s">
        <v>14</v>
      </c>
      <c r="I470" s="1" t="s">
        <v>51</v>
      </c>
      <c r="J470" s="1" t="s">
        <v>59</v>
      </c>
    </row>
    <row r="471" spans="1:10" x14ac:dyDescent="0.25">
      <c r="A471" s="1">
        <v>470</v>
      </c>
      <c r="B471" s="1" t="s">
        <v>565</v>
      </c>
      <c r="C471" s="1" t="s">
        <v>47</v>
      </c>
      <c r="D471" s="1" t="s">
        <v>55</v>
      </c>
      <c r="E471" s="1" t="s">
        <v>6</v>
      </c>
      <c r="F471" s="1" t="s">
        <v>10</v>
      </c>
      <c r="G471" s="1" t="s">
        <v>2</v>
      </c>
      <c r="H471" s="1" t="s">
        <v>14</v>
      </c>
      <c r="I471" s="1" t="s">
        <v>18</v>
      </c>
      <c r="J471" s="1" t="s">
        <v>51</v>
      </c>
    </row>
    <row r="472" spans="1:10" x14ac:dyDescent="0.25">
      <c r="A472" s="1">
        <v>471</v>
      </c>
      <c r="B472" s="1" t="s">
        <v>566</v>
      </c>
      <c r="C472" s="1" t="s">
        <v>18</v>
      </c>
      <c r="D472" s="1" t="s">
        <v>43</v>
      </c>
      <c r="E472" s="1" t="s">
        <v>6</v>
      </c>
      <c r="F472" s="1" t="s">
        <v>10</v>
      </c>
      <c r="G472" s="1" t="s">
        <v>2</v>
      </c>
      <c r="H472" s="1" t="s">
        <v>14</v>
      </c>
      <c r="I472" s="1" t="s">
        <v>63</v>
      </c>
      <c r="J472" s="1" t="s">
        <v>59</v>
      </c>
    </row>
    <row r="473" spans="1:10" x14ac:dyDescent="0.25">
      <c r="A473" s="1">
        <v>472</v>
      </c>
      <c r="B473" s="1" t="s">
        <v>567</v>
      </c>
      <c r="C473" s="1" t="s">
        <v>18</v>
      </c>
      <c r="D473" s="1" t="s">
        <v>43</v>
      </c>
      <c r="E473" s="1" t="s">
        <v>6</v>
      </c>
      <c r="F473" s="1" t="s">
        <v>10</v>
      </c>
      <c r="G473" s="1" t="s">
        <v>2</v>
      </c>
      <c r="H473" s="1" t="s">
        <v>14</v>
      </c>
      <c r="I473" s="1" t="s">
        <v>63</v>
      </c>
      <c r="J473" s="1" t="s">
        <v>55</v>
      </c>
    </row>
    <row r="474" spans="1:10" x14ac:dyDescent="0.25">
      <c r="A474" s="1">
        <v>473</v>
      </c>
      <c r="B474" s="1" t="s">
        <v>568</v>
      </c>
      <c r="C474" s="1" t="s">
        <v>18</v>
      </c>
      <c r="D474" s="1" t="s">
        <v>43</v>
      </c>
      <c r="E474" s="1" t="s">
        <v>6</v>
      </c>
      <c r="F474" s="1" t="s">
        <v>10</v>
      </c>
      <c r="G474" s="1" t="s">
        <v>2</v>
      </c>
      <c r="H474" s="1" t="s">
        <v>14</v>
      </c>
      <c r="I474" s="1" t="s">
        <v>55</v>
      </c>
      <c r="J474" s="1" t="s">
        <v>59</v>
      </c>
    </row>
    <row r="475" spans="1:10" x14ac:dyDescent="0.25">
      <c r="A475" s="1">
        <v>474</v>
      </c>
      <c r="B475" s="1" t="s">
        <v>569</v>
      </c>
      <c r="C475" s="1" t="s">
        <v>18</v>
      </c>
      <c r="D475" s="1" t="s">
        <v>43</v>
      </c>
      <c r="E475" s="1" t="s">
        <v>6</v>
      </c>
      <c r="F475" s="1" t="s">
        <v>10</v>
      </c>
      <c r="G475" s="1" t="s">
        <v>2</v>
      </c>
      <c r="H475" s="1" t="s">
        <v>14</v>
      </c>
      <c r="I475" s="1" t="s">
        <v>63</v>
      </c>
      <c r="J475" s="1" t="s">
        <v>51</v>
      </c>
    </row>
    <row r="476" spans="1:10" x14ac:dyDescent="0.25">
      <c r="A476" s="1">
        <v>475</v>
      </c>
      <c r="B476" s="1" t="s">
        <v>570</v>
      </c>
      <c r="C476" s="1" t="s">
        <v>18</v>
      </c>
      <c r="D476" s="1" t="s">
        <v>43</v>
      </c>
      <c r="E476" s="1" t="s">
        <v>6</v>
      </c>
      <c r="F476" s="1" t="s">
        <v>10</v>
      </c>
      <c r="G476" s="1" t="s">
        <v>2</v>
      </c>
      <c r="H476" s="1" t="s">
        <v>14</v>
      </c>
      <c r="I476" s="1" t="s">
        <v>51</v>
      </c>
      <c r="J476" s="1" t="s">
        <v>59</v>
      </c>
    </row>
    <row r="477" spans="1:10" x14ac:dyDescent="0.25">
      <c r="A477" s="1">
        <v>476</v>
      </c>
      <c r="B477" s="1" t="s">
        <v>571</v>
      </c>
      <c r="C477" s="1" t="s">
        <v>18</v>
      </c>
      <c r="D477" s="1" t="s">
        <v>43</v>
      </c>
      <c r="E477" s="1" t="s">
        <v>6</v>
      </c>
      <c r="F477" s="1" t="s">
        <v>10</v>
      </c>
      <c r="G477" s="1" t="s">
        <v>2</v>
      </c>
      <c r="H477" s="1" t="s">
        <v>14</v>
      </c>
      <c r="I477" s="1" t="s">
        <v>51</v>
      </c>
      <c r="J477" s="1" t="s">
        <v>55</v>
      </c>
    </row>
    <row r="478" spans="1:10" x14ac:dyDescent="0.25">
      <c r="A478" s="1">
        <v>477</v>
      </c>
      <c r="B478" s="1" t="s">
        <v>572</v>
      </c>
      <c r="C478" s="1" t="s">
        <v>47</v>
      </c>
      <c r="D478" s="1" t="s">
        <v>43</v>
      </c>
      <c r="E478" s="1" t="s">
        <v>6</v>
      </c>
      <c r="F478" s="1" t="s">
        <v>10</v>
      </c>
      <c r="G478" s="1" t="s">
        <v>2</v>
      </c>
      <c r="H478" s="1" t="s">
        <v>14</v>
      </c>
      <c r="I478" s="1" t="s">
        <v>63</v>
      </c>
      <c r="J478" s="1" t="s">
        <v>18</v>
      </c>
    </row>
    <row r="479" spans="1:10" x14ac:dyDescent="0.25">
      <c r="A479" s="1">
        <v>478</v>
      </c>
      <c r="B479" s="1" t="s">
        <v>573</v>
      </c>
      <c r="C479" s="1" t="s">
        <v>47</v>
      </c>
      <c r="D479" s="1" t="s">
        <v>43</v>
      </c>
      <c r="E479" s="1" t="s">
        <v>6</v>
      </c>
      <c r="F479" s="1" t="s">
        <v>10</v>
      </c>
      <c r="G479" s="1" t="s">
        <v>2</v>
      </c>
      <c r="H479" s="1" t="s">
        <v>14</v>
      </c>
      <c r="I479" s="1" t="s">
        <v>18</v>
      </c>
      <c r="J479" s="1" t="s">
        <v>59</v>
      </c>
    </row>
    <row r="480" spans="1:10" x14ac:dyDescent="0.25">
      <c r="A480" s="1">
        <v>479</v>
      </c>
      <c r="B480" s="1" t="s">
        <v>574</v>
      </c>
      <c r="C480" s="1" t="s">
        <v>47</v>
      </c>
      <c r="D480" s="1" t="s">
        <v>43</v>
      </c>
      <c r="E480" s="1" t="s">
        <v>6</v>
      </c>
      <c r="F480" s="1" t="s">
        <v>10</v>
      </c>
      <c r="G480" s="1" t="s">
        <v>2</v>
      </c>
      <c r="H480" s="1" t="s">
        <v>14</v>
      </c>
      <c r="I480" s="1" t="s">
        <v>18</v>
      </c>
      <c r="J480" s="1" t="s">
        <v>55</v>
      </c>
    </row>
    <row r="481" spans="1:10" x14ac:dyDescent="0.25">
      <c r="A481" s="1">
        <v>480</v>
      </c>
      <c r="B481" s="1" t="s">
        <v>575</v>
      </c>
      <c r="C481" s="1" t="s">
        <v>47</v>
      </c>
      <c r="D481" s="1" t="s">
        <v>43</v>
      </c>
      <c r="E481" s="1" t="s">
        <v>6</v>
      </c>
      <c r="F481" s="1" t="s">
        <v>10</v>
      </c>
      <c r="G481" s="1" t="s">
        <v>2</v>
      </c>
      <c r="H481" s="1" t="s">
        <v>14</v>
      </c>
      <c r="I481" s="1" t="s">
        <v>18</v>
      </c>
      <c r="J481" s="1" t="s">
        <v>51</v>
      </c>
    </row>
    <row r="482" spans="1:10" x14ac:dyDescent="0.25">
      <c r="A482" s="1">
        <v>481</v>
      </c>
      <c r="B482" s="1" t="s">
        <v>576</v>
      </c>
      <c r="C482" s="1" t="s">
        <v>10</v>
      </c>
      <c r="D482" s="1" t="s">
        <v>18</v>
      </c>
      <c r="E482" s="1" t="s">
        <v>6</v>
      </c>
      <c r="F482" s="1" t="s">
        <v>14</v>
      </c>
      <c r="G482" s="1" t="s">
        <v>2</v>
      </c>
      <c r="H482" s="1" t="s">
        <v>22</v>
      </c>
      <c r="I482" s="1" t="s">
        <v>63</v>
      </c>
      <c r="J482" s="1" t="s">
        <v>59</v>
      </c>
    </row>
    <row r="483" spans="1:10" x14ac:dyDescent="0.25">
      <c r="A483" s="1">
        <v>482</v>
      </c>
      <c r="B483" s="1" t="s">
        <v>577</v>
      </c>
      <c r="C483" s="1" t="s">
        <v>10</v>
      </c>
      <c r="D483" s="1" t="s">
        <v>55</v>
      </c>
      <c r="E483" s="1" t="s">
        <v>6</v>
      </c>
      <c r="F483" s="1" t="s">
        <v>14</v>
      </c>
      <c r="G483" s="1" t="s">
        <v>2</v>
      </c>
      <c r="H483" s="1" t="s">
        <v>22</v>
      </c>
      <c r="I483" s="1" t="s">
        <v>63</v>
      </c>
      <c r="J483" s="1" t="s">
        <v>18</v>
      </c>
    </row>
    <row r="484" spans="1:10" x14ac:dyDescent="0.25">
      <c r="A484" s="1">
        <v>483</v>
      </c>
      <c r="B484" s="1" t="s">
        <v>578</v>
      </c>
      <c r="C484" s="1" t="s">
        <v>10</v>
      </c>
      <c r="D484" s="1" t="s">
        <v>55</v>
      </c>
      <c r="E484" s="1" t="s">
        <v>6</v>
      </c>
      <c r="F484" s="1" t="s">
        <v>14</v>
      </c>
      <c r="G484" s="1" t="s">
        <v>2</v>
      </c>
      <c r="H484" s="1" t="s">
        <v>22</v>
      </c>
      <c r="I484" s="1" t="s">
        <v>18</v>
      </c>
      <c r="J484" s="1" t="s">
        <v>59</v>
      </c>
    </row>
    <row r="485" spans="1:10" x14ac:dyDescent="0.25">
      <c r="A485" s="1">
        <v>484</v>
      </c>
      <c r="B485" s="1" t="s">
        <v>579</v>
      </c>
      <c r="C485" s="1" t="s">
        <v>10</v>
      </c>
      <c r="D485" s="1" t="s">
        <v>18</v>
      </c>
      <c r="E485" s="1" t="s">
        <v>6</v>
      </c>
      <c r="F485" s="1" t="s">
        <v>14</v>
      </c>
      <c r="G485" s="1" t="s">
        <v>2</v>
      </c>
      <c r="H485" s="1" t="s">
        <v>22</v>
      </c>
      <c r="I485" s="1" t="s">
        <v>63</v>
      </c>
      <c r="J485" s="1" t="s">
        <v>51</v>
      </c>
    </row>
    <row r="486" spans="1:10" x14ac:dyDescent="0.25">
      <c r="A486" s="1">
        <v>485</v>
      </c>
      <c r="B486" s="1" t="s">
        <v>580</v>
      </c>
      <c r="C486" s="1" t="s">
        <v>10</v>
      </c>
      <c r="D486" s="1" t="s">
        <v>18</v>
      </c>
      <c r="E486" s="1" t="s">
        <v>6</v>
      </c>
      <c r="F486" s="1" t="s">
        <v>14</v>
      </c>
      <c r="G486" s="1" t="s">
        <v>2</v>
      </c>
      <c r="H486" s="1" t="s">
        <v>22</v>
      </c>
      <c r="I486" s="1" t="s">
        <v>51</v>
      </c>
      <c r="J486" s="1" t="s">
        <v>59</v>
      </c>
    </row>
    <row r="487" spans="1:10" x14ac:dyDescent="0.25">
      <c r="A487" s="1">
        <v>486</v>
      </c>
      <c r="B487" s="1" t="s">
        <v>581</v>
      </c>
      <c r="C487" s="1" t="s">
        <v>10</v>
      </c>
      <c r="D487" s="1" t="s">
        <v>55</v>
      </c>
      <c r="E487" s="1" t="s">
        <v>6</v>
      </c>
      <c r="F487" s="1" t="s">
        <v>14</v>
      </c>
      <c r="G487" s="1" t="s">
        <v>2</v>
      </c>
      <c r="H487" s="1" t="s">
        <v>22</v>
      </c>
      <c r="I487" s="1" t="s">
        <v>18</v>
      </c>
      <c r="J487" s="1" t="s">
        <v>51</v>
      </c>
    </row>
    <row r="488" spans="1:10" x14ac:dyDescent="0.25">
      <c r="A488" s="1">
        <v>487</v>
      </c>
      <c r="B488" s="1" t="s">
        <v>582</v>
      </c>
      <c r="C488" s="1" t="s">
        <v>47</v>
      </c>
      <c r="D488" s="1" t="s">
        <v>22</v>
      </c>
      <c r="E488" s="1" t="s">
        <v>6</v>
      </c>
      <c r="F488" s="1" t="s">
        <v>10</v>
      </c>
      <c r="G488" s="1" t="s">
        <v>2</v>
      </c>
      <c r="H488" s="1" t="s">
        <v>14</v>
      </c>
      <c r="I488" s="1" t="s">
        <v>63</v>
      </c>
      <c r="J488" s="1" t="s">
        <v>18</v>
      </c>
    </row>
    <row r="489" spans="1:10" x14ac:dyDescent="0.25">
      <c r="A489" s="1">
        <v>488</v>
      </c>
      <c r="B489" s="1" t="s">
        <v>583</v>
      </c>
      <c r="C489" s="1" t="s">
        <v>47</v>
      </c>
      <c r="D489" s="1" t="s">
        <v>18</v>
      </c>
      <c r="E489" s="1" t="s">
        <v>6</v>
      </c>
      <c r="F489" s="1" t="s">
        <v>10</v>
      </c>
      <c r="G489" s="1" t="s">
        <v>2</v>
      </c>
      <c r="H489" s="1" t="s">
        <v>22</v>
      </c>
      <c r="I489" s="1" t="s">
        <v>14</v>
      </c>
      <c r="J489" s="1" t="s">
        <v>59</v>
      </c>
    </row>
    <row r="490" spans="1:10" x14ac:dyDescent="0.25">
      <c r="A490" s="1">
        <v>489</v>
      </c>
      <c r="B490" s="1" t="s">
        <v>584</v>
      </c>
      <c r="C490" s="1" t="s">
        <v>47</v>
      </c>
      <c r="D490" s="1" t="s">
        <v>55</v>
      </c>
      <c r="E490" s="1" t="s">
        <v>6</v>
      </c>
      <c r="F490" s="1" t="s">
        <v>10</v>
      </c>
      <c r="G490" s="1" t="s">
        <v>2</v>
      </c>
      <c r="H490" s="1" t="s">
        <v>22</v>
      </c>
      <c r="I490" s="1" t="s">
        <v>14</v>
      </c>
      <c r="J490" s="1" t="s">
        <v>18</v>
      </c>
    </row>
    <row r="491" spans="1:10" x14ac:dyDescent="0.25">
      <c r="A491" s="1">
        <v>490</v>
      </c>
      <c r="B491" s="1" t="s">
        <v>585</v>
      </c>
      <c r="C491" s="1" t="s">
        <v>47</v>
      </c>
      <c r="D491" s="1" t="s">
        <v>18</v>
      </c>
      <c r="E491" s="1" t="s">
        <v>6</v>
      </c>
      <c r="F491" s="1" t="s">
        <v>10</v>
      </c>
      <c r="G491" s="1" t="s">
        <v>2</v>
      </c>
      <c r="H491" s="1" t="s">
        <v>22</v>
      </c>
      <c r="I491" s="1" t="s">
        <v>14</v>
      </c>
      <c r="J491" s="1" t="s">
        <v>51</v>
      </c>
    </row>
    <row r="492" spans="1:10" x14ac:dyDescent="0.25">
      <c r="A492" s="1">
        <v>491</v>
      </c>
      <c r="B492" s="1" t="s">
        <v>586</v>
      </c>
      <c r="C492" s="1" t="s">
        <v>10</v>
      </c>
      <c r="D492" s="1" t="s">
        <v>43</v>
      </c>
      <c r="E492" s="1" t="s">
        <v>6</v>
      </c>
      <c r="F492" s="1" t="s">
        <v>14</v>
      </c>
      <c r="G492" s="1" t="s">
        <v>2</v>
      </c>
      <c r="H492" s="1" t="s">
        <v>22</v>
      </c>
      <c r="I492" s="1" t="s">
        <v>63</v>
      </c>
      <c r="J492" s="1" t="s">
        <v>18</v>
      </c>
    </row>
    <row r="493" spans="1:10" x14ac:dyDescent="0.25">
      <c r="A493" s="1">
        <v>492</v>
      </c>
      <c r="B493" s="1" t="s">
        <v>587</v>
      </c>
      <c r="C493" s="1" t="s">
        <v>10</v>
      </c>
      <c r="D493" s="1" t="s">
        <v>43</v>
      </c>
      <c r="E493" s="1" t="s">
        <v>6</v>
      </c>
      <c r="F493" s="1" t="s">
        <v>14</v>
      </c>
      <c r="G493" s="1" t="s">
        <v>2</v>
      </c>
      <c r="H493" s="1" t="s">
        <v>22</v>
      </c>
      <c r="I493" s="1" t="s">
        <v>18</v>
      </c>
      <c r="J493" s="1" t="s">
        <v>59</v>
      </c>
    </row>
    <row r="494" spans="1:10" x14ac:dyDescent="0.25">
      <c r="A494" s="1">
        <v>493</v>
      </c>
      <c r="B494" s="1" t="s">
        <v>588</v>
      </c>
      <c r="C494" s="1" t="s">
        <v>10</v>
      </c>
      <c r="D494" s="1" t="s">
        <v>43</v>
      </c>
      <c r="E494" s="1" t="s">
        <v>6</v>
      </c>
      <c r="F494" s="1" t="s">
        <v>14</v>
      </c>
      <c r="G494" s="1" t="s">
        <v>2</v>
      </c>
      <c r="H494" s="1" t="s">
        <v>22</v>
      </c>
      <c r="I494" s="1" t="s">
        <v>18</v>
      </c>
      <c r="J494" s="1" t="s">
        <v>55</v>
      </c>
    </row>
    <row r="495" spans="1:10" x14ac:dyDescent="0.25">
      <c r="A495" s="1">
        <v>494</v>
      </c>
      <c r="B495" s="1" t="s">
        <v>589</v>
      </c>
      <c r="C495" s="1" t="s">
        <v>10</v>
      </c>
      <c r="D495" s="1" t="s">
        <v>43</v>
      </c>
      <c r="E495" s="1" t="s">
        <v>6</v>
      </c>
      <c r="F495" s="1" t="s">
        <v>14</v>
      </c>
      <c r="G495" s="1" t="s">
        <v>2</v>
      </c>
      <c r="H495" s="1" t="s">
        <v>22</v>
      </c>
      <c r="I495" s="1" t="s">
        <v>18</v>
      </c>
      <c r="J495" s="1" t="s">
        <v>51</v>
      </c>
    </row>
    <row r="496" spans="1:10" x14ac:dyDescent="0.25">
      <c r="A496" s="1">
        <v>495</v>
      </c>
      <c r="B496" s="1" t="s">
        <v>590</v>
      </c>
      <c r="C496" s="1" t="s">
        <v>47</v>
      </c>
      <c r="D496" s="1" t="s">
        <v>43</v>
      </c>
      <c r="E496" s="1" t="s">
        <v>6</v>
      </c>
      <c r="F496" s="1" t="s">
        <v>10</v>
      </c>
      <c r="G496" s="1" t="s">
        <v>2</v>
      </c>
      <c r="H496" s="1" t="s">
        <v>22</v>
      </c>
      <c r="I496" s="1" t="s">
        <v>14</v>
      </c>
      <c r="J496" s="1" t="s">
        <v>18</v>
      </c>
    </row>
  </sheetData>
  <sheetProtection algorithmName="SHA-512" hashValue="X7z7FEBQ1IknkSqTqaqNIn7vWaE7wNnYmqprbECVqro8z6wWhaxNzhr6M0o1Xqojlas3kb9jNLzgmUIyCfN3uA==" saltValue="CfFUmjPiwOmaAVMc2tdTcQ=="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Fogli di lavoro</vt:lpstr>
      </vt:variant>
      <vt:variant>
        <vt:i4>2</vt:i4>
      </vt:variant>
    </vt:vector>
  </HeadingPairs>
  <TitlesOfParts>
    <vt:vector size="2" baseType="lpstr">
      <vt:lpstr>Bracket</vt:lpstr>
      <vt:lpstr>Terze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Riccardo Rao</cp:lastModifiedBy>
  <dcterms:created xsi:type="dcterms:W3CDTF">2021-06-09T07:33:52Z</dcterms:created>
  <dcterms:modified xsi:type="dcterms:W3CDTF">2026-06-07T09:57:19Z</dcterms:modified>
</cp:coreProperties>
</file>