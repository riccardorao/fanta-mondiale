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tente\OneDrive\Desktop\"/>
    </mc:Choice>
  </mc:AlternateContent>
  <xr:revisionPtr revIDLastSave="0" documentId="13_ncr:1_{1B685A57-4322-45B2-B4FA-AFF6E6F2075C}" xr6:coauthVersionLast="47" xr6:coauthVersionMax="47" xr10:uidLastSave="{00000000-0000-0000-0000-000000000000}"/>
  <bookViews>
    <workbookView xWindow="-108" yWindow="-108" windowWidth="23256" windowHeight="12456"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P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0" i="3"/>
  <c r="AP36" i="3"/>
  <c r="AP27" i="3"/>
  <c r="AP20"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P47" i="3"/>
  <c r="AP19" i="3"/>
  <c r="G77" i="3" l="1" a="1"/>
  <c r="G77" i="3" s="1"/>
  <c r="AU16" i="3" s="1"/>
  <c r="G75" i="3" a="1"/>
  <c r="G75" i="3" s="1"/>
  <c r="AV14" i="3" a="1"/>
  <c r="AV14" i="3" s="1"/>
  <c r="H57" i="3" a="1"/>
  <c r="H57"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P40"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56" i="3" l="1"/>
  <c r="K5" i="3"/>
  <c r="K29" i="3" l="1"/>
  <c r="K53" i="3"/>
  <c r="P55" i="3" s="1"/>
  <c r="U59" i="3" s="1"/>
  <c r="K65" i="3" l="1"/>
  <c r="P64" i="3" s="1"/>
  <c r="K38" i="3" l="1"/>
  <c r="P39" i="3" s="1"/>
  <c r="U43"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AJ35" i="3" s="1"/>
  <c r="K22" i="3"/>
  <c r="P23" i="3" s="1"/>
  <c r="U27" i="3" s="1"/>
  <c r="Z20" i="3" s="1"/>
  <c r="AE35" i="3" s="1"/>
  <c r="AJ36" i="3" s="1"/>
  <c r="AU26" i="3" l="1"/>
  <c r="J6" i="3" s="1"/>
  <c r="K6" i="3" s="1"/>
  <c r="P7" i="3" s="1"/>
  <c r="AU28" i="3"/>
  <c r="J10" i="3" s="1"/>
  <c r="K10" i="3" s="1"/>
  <c r="P8" i="3" s="1"/>
  <c r="U11" i="3" s="1"/>
  <c r="Z19" i="3" s="1"/>
  <c r="AE43" i="3" s="1"/>
  <c r="AJ37" i="3" s="1"/>
  <c r="AU27" i="3"/>
  <c r="J34" i="3" s="1"/>
  <c r="K34" i="3" s="1"/>
  <c r="P32" i="3" s="1"/>
  <c r="AU30" i="3"/>
  <c r="J50" i="3" s="1"/>
  <c r="K50" i="3" s="1"/>
  <c r="AU23" i="3"/>
  <c r="J46" i="3" s="1"/>
  <c r="K46" i="3" s="1"/>
  <c r="P47" i="3" s="1"/>
  <c r="U44" i="3" s="1"/>
  <c r="Z51" i="3" s="1"/>
  <c r="AE44" i="3" s="1"/>
  <c r="AJ38" i="3" s="1"/>
  <c r="AU25" i="3"/>
  <c r="J30" i="3" s="1"/>
  <c r="K30" i="3" s="1"/>
  <c r="P31" i="3" s="1"/>
  <c r="AU29" i="3"/>
  <c r="J66" i="3" s="1"/>
  <c r="K66" i="3" s="1"/>
  <c r="U28"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<sst xmlns="http://schemas.openxmlformats.org/spreadsheetml/2006/main" count="4801" uniqueCount="671">
  <si>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</si>
  <si>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</si>
  <si>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</si>
  <si>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</si>
  <si>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</si>
  <si>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</si>
  <si>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</si>
  <si>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</si>
  <si>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</si>
  <si>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</si>
  <si>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</si>
  <si>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</si>
  <si>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</si>
  <si>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</si>
  <si>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</si>
  <si>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</si>
  <si>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</si>
  <si>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</si>
  <si>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</si>
  <si>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</si>
  <si>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</si>
  <si>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</si>
  <si>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</si>
  <si>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</si>
  <si>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</si>
  <si>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</si>
  <si>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</si>
  <si>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</si>
  <si>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</si>
  <si>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</si>
  <si>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</si>
  <si>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</si>
  <si>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</si>
  <si>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</si>
  <si>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</si>
  <si>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</si>
  <si>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</si>
  <si>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</si>
  <si>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</si>
  <si>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</si>
  <si>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</si>
  <si>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</si>
  <si>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</si>
  <si>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</si>
  <si>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</si>
  <si>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</si>
  <si>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</si>
  <si>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</si>
  <si>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</si>
  <si>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</si>
  <si>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</si>
  <si>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</si>
  <si>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</si>
  <si>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</si>
  <si>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</si>
  <si>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</si>
  <si>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</si>
  <si>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</si>
  <si>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</si>
  <si>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</si>
  <si>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</si>
  <si>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</si>
  <si>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</si>
  <si>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</si>
  <si>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</si>
  <si>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</si>
  <si>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</si>
  <si>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</si>
  <si>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</si>
  <si>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</si>
  <si>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</si>
  <si>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</si>
  <si>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</si>
  <si>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</si>
  <si>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</si>
  <si>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</si>
  <si>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</si>
  <si>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</si>
  <si>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</si>
  <si>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</si>
  <si>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</si>
  <si>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</si>
  <si>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</si>
  <si>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</si>
  <si>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</si>
  <si>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</si>
  <si>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</si>
  <si>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</si>
  <si>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</si>
  <si>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</si>
  <si>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</si>
  <si>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</si>
  <si>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</si>
  <si>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</si>
  <si>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</si>
  <si>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</si>
  <si>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</si>
  <si>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</si>
  <si>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</si>
  <si>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</si>
  <si>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</si>
  <si>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</si>
  <si>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</si>
  <si>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</si>
  <si>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</si>
  <si>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</si>
  <si>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</si>
  <si>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</si>
  <si>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</si>
  <si>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</si>
  <si>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</si>
  <si>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</si>
  <si>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</si>
  <si>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</si>
  <si>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</si>
  <si>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</si>
  <si>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</si>
  <si>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</si>
  <si>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</si>
  <si>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</si>
  <si>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</si>
  <si>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</si>
  <si>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</si>
  <si>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</si>
  <si>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</si>
  <si>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</si>
  <si>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</si>
  <si>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</si>
  <si>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</si>
  <si>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</si>
  <si>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</si>
  <si>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</si>
  <si>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</si>
  <si>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</si>
  <si>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</si>
  <si>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</si>
  <si>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</si>
  <si>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</si>
  <si>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</si>
  <si>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</si>
  <si>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</si>
  <si>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</si>
  <si>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</si>
  <si>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</si>
  <si>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</si>
  <si>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</si>
  <si>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</si>
  <si>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</si>
  <si>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</si>
  <si>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</si>
  <si>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</si>
  <si>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</si>
  <si>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</si>
  <si>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</si>
  <si>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</si>
  <si>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</si>
  <si>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</si>
  <si>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</si>
  <si>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</si>
  <si>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</si>
  <si>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</si>
  <si>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</si>
  <si>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</si>
  <si>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</si>
  <si>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</si>
  <si>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</si>
  <si>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</si>
  <si>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</si>
  <si>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</si>
  <si>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</si>
  <si>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</si>
  <si>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</si>
  <si>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</si>
  <si>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</si>
  <si>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</si>
  <si>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</si>
  <si>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</si>
  <si>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</si>
  <si>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</si>
  <si>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</si>
  <si>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</si>
  <si>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</si>
  <si>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</si>
  <si>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</si>
  <si>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</si>
  <si>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</si>
  <si>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</si>
  <si>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</si>
  <si>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</si>
  <si>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</si>
  <si>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</si>
  <si>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</si>
  <si>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</si>
  <si>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</si>
  <si>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</si>
  <si>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</si>
  <si>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</si>
  <si>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</si>
  <si>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</si>
  <si>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</si>
  <si>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</si>
  <si>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</si>
  <si>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</si>
  <si>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</si>
  <si>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</si>
  <si>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</si>
  <si>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</si>
  <si>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</si>
  <si>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</si>
  <si>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</si>
  <si>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</si>
  <si>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</si>
  <si>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</si>
  <si>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</si>
  <si>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</si>
  <si>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</si>
  <si>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</si>
  <si>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</si>
  <si>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</si>
  <si>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</si>
  <si>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</si>
  <si>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</si>
  <si>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</si>
  <si>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</si>
  <si>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</si>
  <si>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</si>
  <si>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</si>
  <si>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</si>
  <si>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</si>
  <si>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</si>
  <si>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</si>
  <si>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</si>
  <si>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</si>
  <si>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</si>
  <si>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</si>
  <si>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</si>
  <si>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</si>
  <si>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</si>
  <si>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</si>
  <si>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</si>
  <si>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</si>
  <si>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</si>
  <si>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</si>
  <si>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</si>
  <si>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</si>
  <si>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</si>
  <si>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</si>
  <si>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</si>
  <si>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</si>
  <si>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</si>
  <si>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</si>
  <si>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</si>
  <si>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</si>
  <si>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</si>
  <si>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</si>
  <si>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</si>
  <si>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</si>
  <si>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</si>
  <si>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</si>
  <si>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</si>
  <si>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</si>
  <si>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</si>
  <si>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</si>
  <si>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</si>
  <si>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</si>
  <si>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</si>
  <si>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</si>
  <si>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</si>
  <si>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</si>
  <si>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</si>
  <si>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</si>
  <si>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</si>
  <si>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</si>
  <si>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</si>
  <si>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</si>
  <si>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</si>
  <si>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</si>
  <si>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</si>
  <si>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</si>
  <si>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</si>
  <si>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</si>
  <si>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</si>
  <si>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</si>
  <si>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</si>
  <si>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</si>
  <si>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</si>
  <si>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</si>
  <si>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</si>
  <si>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</si>
  <si>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</si>
  <si>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</si>
  <si>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</si>
  <si>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</si>
  <si>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</si>
  <si>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</si>
  <si>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</si>
  <si>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</si>
  <si>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</si>
  <si>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</si>
  <si>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</si>
  <si>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</si>
  <si>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</si>
  <si>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</si>
  <si>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</si>
  <si>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</si>
  <si>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</si>
  <si>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</si>
  <si>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</si>
  <si>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</si>
  <si>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</si>
  <si>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</si>
  <si>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</si>
  <si>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</si>
  <si>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</si>
  <si>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</si>
  <si>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</si>
  <si>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</si>
  <si>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</si>
  <si>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</si>
  <si>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</si>
  <si>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</si>
  <si>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</si>
  <si>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</si>
  <si>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</si>
  <si>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</si>
  <si>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</si>
  <si>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</si>
  <si>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</si>
  <si>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</si>
  <si>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</si>
  <si>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</si>
  <si>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</si>
  <si>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</si>
  <si>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</si>
  <si>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</si>
  <si>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</si>
  <si>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</si>
  <si>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</si>
  <si>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</si>
  <si>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</si>
  <si>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</si>
  <si>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</si>
  <si>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</si>
  <si>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</si>
  <si>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</si>
  <si>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</si>
  <si>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</si>
  <si>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</si>
  <si>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</si>
  <si>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</si>
  <si>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</si>
  <si>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</si>
  <si>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</si>
  <si>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</si>
  <si>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</si>
  <si>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</si>
  <si>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</si>
  <si>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</si>
  <si>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</si>
  <si>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</si>
  <si>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</si>
  <si>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</si>
  <si>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</si>
  <si>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</si>
  <si>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</si>
  <si>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</si>
  <si>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</si>
  <si>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</si>
  <si>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</si>
  <si>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</si>
  <si>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</si>
  <si>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</si>
  <si>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</si>
  <si>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</si>
  <si>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</si>
  <si>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</si>
  <si>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</si>
  <si>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</si>
  <si>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</si>
  <si>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</si>
  <si>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</si>
  <si>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</si>
  <si>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</si>
  <si>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</si>
  <si>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</si>
  <si>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</si>
  <si>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</si>
  <si>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</si>
  <si>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</si>
  <si>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</si>
  <si>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</si>
  <si>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</si>
  <si>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</si>
  <si>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</si>
  <si>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</si>
  <si>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</si>
  <si>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</si>
  <si>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</si>
  <si>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</si>
  <si>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</si>
  <si>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</si>
  <si>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</si>
  <si>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</si>
  <si>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</si>
  <si>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</si>
  <si>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</si>
  <si>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</si>
  <si>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</si>
  <si>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</si>
  <si>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</si>
  <si>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</si>
  <si>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</si>
  <si>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</si>
  <si>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</si>
  <si>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</si>
  <si>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</si>
  <si>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</si>
  <si>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</si>
  <si>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</si>
  <si>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</si>
  <si>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</si>
  <si>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</si>
  <si>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</si>
  <si>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</si>
  <si>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</si>
  <si>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</si>
  <si>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</si>
  <si>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</si>
  <si>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</si>
  <si>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</si>
  <si>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</si>
  <si>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</si>
  <si>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</si>
  <si>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</si>
  <si>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</si>
  <si>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</si>
  <si>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</si>
  <si>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</si>
  <si>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</si>
  <si>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</si>
  <si>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</si>
  <si>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</si>
  <si>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</si>
  <si>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</si>
  <si>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</si>
  <si>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</si>
  <si>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</si>
  <si>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</si>
  <si>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</si>
  <si>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</si>
  <si>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</si>
  <si>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</si>
  <si>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</si>
  <si>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</si>
  <si>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</si>
  <si>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</si>
  <si>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</si>
  <si>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</si>
  <si>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</si>
  <si>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</si>
  <si>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</si>
  <si>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</si>
  <si>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</si>
  <si>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</si>
  <si>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</si>
  <si>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</si>
  <si>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</si>
  <si>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</si>
  <si>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</si>
  <si>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</si>
  <si>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</si>
  <si>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</si>
  <si>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</si>
  <si>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</si>
  <si>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</si>
  <si>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</si>
  <si>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</si>
  <si>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</si>
  <si>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</si>
  <si>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</si>
  <si>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</si>
  <si>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</si>
  <si>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</si>
  <si>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</si>
  <si>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</si>
  <si>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</si>
  <si>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</si>
  <si>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</si>
  <si>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</si>
  <si>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</si>
  <si>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</si>
  <si>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</si>
  <si>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</si>
  <si>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</si>
  <si>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</si>
  <si>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</si>
  <si>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</si>
  <si>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</si>
  <si>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</si>
  <si>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</si>
  <si>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</si>
  <si>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</si>
  <si>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</si>
  <si>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</si>
  <si>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</si>
  <si>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</si>
  <si>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</si>
  <si>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</si>
  <si>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</si>
  <si>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</si>
  <si>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</si>
  <si>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</si>
  <si>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</si>
  <si>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</si>
  <si>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</si>
  <si>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</si>
  <si>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</si>
  <si>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</si>
  <si>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</si>
  <si>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</si>
  <si>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</si>
  <si>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</si>
  <si>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</si>
  <si>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</si>
  <si>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</si>
  <si>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</si>
  <si>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</si>
  <si>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</si>
  <si>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</si>
  <si>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</si>
  <si>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</si>
  <si>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</si>
  <si>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</si>
  <si>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</si>
  <si>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</si>
  <si>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</si>
  <si>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</si>
  <si>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</si>
  <si>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</si>
  <si>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</si>
  <si>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</si>
  <si>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</si>
  <si>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</si>
  <si>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</si>
  <si>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</si>
  <si>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</si>
  <si>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</si>
  <si>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</si>
  <si>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</si>
  <si>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</si>
  <si>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</si>
  <si>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</si>
  <si>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</si>
  <si>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</si>
  <si>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</si>
  <si>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</si>
  <si>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</si>
  <si>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</si>
  <si>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</si>
  <si>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</si>
  <si>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</si>
  <si>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</si>
  <si>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</si>
  <si>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</si>
  <si>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</si>
  <si>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</si>
  <si>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</si>
  <si>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</si>
  <si>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</si>
  <si>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</si>
  <si>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</si>
  <si>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</si>
  <si>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</si>
  <si>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</si>
  <si>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</si>
  <si>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</si>
  <si>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</si>
  <si>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</si>
  <si>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</si>
  <si>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</si>
  <si>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</si>
  <si>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</si>
  <si>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</si>
  <si>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</si>
  <si>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</si>
  <si>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</si>
  <si>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</si>
  <si>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</si>
  <si>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</si>
  <si>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</si>
  <si>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</si>
  <si>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</si>
  <si>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</si>
  <si>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</si>
  <si>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</si>
  <si>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</si>
  <si>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</si>
  <si>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</si>
  <si>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</si>
  <si>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</si>
  <si>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</si>
  <si>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</si>
  <si>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</si>
  <si>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</si>
  <si>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</si>
  <si>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</si>
  <si>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</si>
  <si>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</si>
  <si>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</si>
  <si>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</si>
  <si>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</si>
  <si>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</si>
  <si>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</si>
  <si>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</si>
  <si>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</si>
  <si>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</si>
  <si>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</si>
  <si>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</si>
  <si>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</si>
  <si>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</si>
  <si>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</si>
  <si>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</si>
  <si>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</si>
  <si>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</si>
  <si>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</si>
  <si>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</si>
  <si>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</si>
  <si>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</si>
  <si>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</si>
  <si>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</si>
  <si>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</si>
  <si>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</si>
  <si>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</si>
  <si>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</si>
  <si>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</si>
  <si>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</si>
  <si>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</si>
  <si>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</si>
  <si>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</si>
  <si>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</si>
  <si>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</si>
  <si>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</si>
  <si>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</si>
  <si>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</si>
  <si>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</si>
  <si>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</si>
  <si>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</si>
  <si>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</si>
  <si>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</si>
  <si>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</si>
  <si>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</si>
  <si>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</si>
  <si>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</si>
  <si>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</si>
  <si>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</si>
  <si>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</si>
  <si>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</si>
  <si>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</si>
  <si>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</si>
  <si>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</si>
  <si>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</si>
  <si>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</si>
  <si>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</si>
  <si>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</si>
  <si>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</si>
  <si>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</si>
  <si>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</si>
  <si>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</si>
  <si>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</si>
  <si>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CRISTIANO RONALDO</t>
  </si>
  <si>
    <t>STEFANO ANTONINI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</si>
</sst>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amily val="2"/>
    </font>
    <font>
      <b/>
      <sz val="20"/>
      <color theme="1"/>
      <name val="Aptos"/>
      <family val="2"/>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8" fillId="4" borderId="9"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5" fillId="0" borderId="1"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T32" zoomScale="52" zoomScaleNormal="100" workbookViewId="0">
      <selection activeCell="AD55" sqref="AD55:AL58"/>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70" t="s">
        <v>592</v>
      </c>
      <c r="C2" s="71"/>
      <c r="D2" s="71"/>
      <c r="E2" s="71"/>
      <c r="F2" s="71"/>
      <c r="G2" s="71"/>
      <c r="H2" s="72"/>
      <c r="J2" s="64" t="s">
        <v>593</v>
      </c>
      <c r="K2" s="64"/>
      <c r="L2" s="64"/>
      <c r="M2" s="64"/>
      <c r="O2" s="64" t="s">
        <v>594</v>
      </c>
      <c r="P2" s="64"/>
      <c r="Q2" s="64"/>
      <c r="R2" s="64"/>
      <c r="T2" s="64" t="s">
        <v>595</v>
      </c>
      <c r="U2" s="64"/>
      <c r="V2" s="64"/>
      <c r="W2" s="64"/>
      <c r="Y2" s="64" t="s">
        <v>596</v>
      </c>
      <c r="Z2" s="64"/>
      <c r="AA2" s="64"/>
      <c r="AB2" s="64"/>
      <c r="AD2" s="64" t="s">
        <v>661</v>
      </c>
      <c r="AE2" s="64"/>
      <c r="AF2" s="64"/>
      <c r="AG2" s="64"/>
      <c r="AW2" s="35"/>
      <c r="AX2" s="3"/>
      <c r="AY2" s="3"/>
      <c r="AZ2" s="3"/>
    </row>
    <row r="3" spans="1:52" ht="19.95" customHeight="1" x14ac:dyDescent="0.3">
      <c r="B3" s="73"/>
      <c r="C3" s="74"/>
      <c r="D3" s="74"/>
      <c r="E3" s="74"/>
      <c r="F3" s="74"/>
      <c r="G3" s="74"/>
      <c r="H3" s="75"/>
      <c r="J3" s="64"/>
      <c r="K3" s="64"/>
      <c r="L3" s="64"/>
      <c r="M3" s="64"/>
      <c r="N3" s="4"/>
      <c r="O3" s="64"/>
      <c r="P3" s="64"/>
      <c r="Q3" s="64"/>
      <c r="R3" s="64"/>
      <c r="S3" s="4"/>
      <c r="T3" s="64"/>
      <c r="U3" s="64"/>
      <c r="V3" s="64"/>
      <c r="W3" s="64"/>
      <c r="X3" s="4"/>
      <c r="Y3" s="64"/>
      <c r="Z3" s="64"/>
      <c r="AA3" s="64"/>
      <c r="AB3" s="64"/>
      <c r="AD3" s="64"/>
      <c r="AE3" s="64"/>
      <c r="AF3" s="64"/>
      <c r="AG3" s="64"/>
      <c r="AW3" s="35"/>
      <c r="AX3" s="3"/>
      <c r="AY3" s="3"/>
      <c r="AZ3" s="3"/>
    </row>
    <row r="4" spans="1:52" ht="19.95" customHeight="1" x14ac:dyDescent="0.3">
      <c r="B4" s="67" t="s">
        <v>598</v>
      </c>
      <c r="C4" s="68"/>
      <c r="D4" s="68"/>
      <c r="E4" s="68"/>
      <c r="F4" s="68"/>
      <c r="G4" s="68"/>
      <c r="H4" s="69"/>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2</v>
      </c>
      <c r="E5" s="8">
        <v>1</v>
      </c>
      <c r="F5" s="9" t="s">
        <v>0</v>
      </c>
      <c r="G5" s="10" t="str" cm="1">
        <f t="array" ref="G5">IF(SUMPRODUCT((LEN($D$5:$D$10)&gt;0)*(LEN($E$5:$E$10)&gt;0))=0,"",IFERROR(INDEX($AN$5:$AN$8,MATCH(LARGE($AP$5:$AP$8,1),$AP$5:$AP$8,0)),""))</f>
        <v>MEXICO</v>
      </c>
      <c r="H5" s="10" cm="1">
        <f t="array" ref="H5">IF(SUMPRODUCT((LEN($D$5:$D$10)&gt;0)*(LEN($E$5:$E$10)&gt;0))=0,"",IFERROR(INDEX($AO$5:$AO$8,MATCH(LARGE($AP$5:$AP$8,1),$AP$5:$AP$8,0)),""))</f>
        <v>5</v>
      </c>
      <c r="J5" s="11" t="s">
        <v>16</v>
      </c>
      <c r="K5" s="12" t="str">
        <f>_xlfn.XLOOKUP(J5,$F$5:$F$85,$G$5:$G$85, "")</f>
        <v>GERMANY</v>
      </c>
      <c r="L5" s="60">
        <v>1</v>
      </c>
      <c r="M5" s="62"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5</v>
      </c>
      <c r="AP5" s="34">
        <f>AO5*1000000+(AQ5-AR5)*1000+AQ5*10-0</f>
        <v>5001040</v>
      </c>
      <c r="AQ5" s="34" cm="1">
        <f t="array" ref="AQ5">SUMPRODUCT(($B$5:$B$10=AN5)*$D$5:$D$10)+SUMPRODUCT(($C$5:$C$10=AN5)*$E$5:$E$10)</f>
        <v>4</v>
      </c>
      <c r="AR5" s="34" cm="1">
        <f t="array" ref="AR5">SUMPRODUCT(($B$5:$B$10=AN5)*$E$5:$E$10)+SUMPRODUCT(($C$5:$C$10=AN5)*$D$5:$D$10)</f>
        <v>3</v>
      </c>
      <c r="AT5" s="36" t="s">
        <v>662</v>
      </c>
      <c r="AU5" s="36" t="s">
        <v>663</v>
      </c>
      <c r="AV5" s="36" t="s">
        <v>664</v>
      </c>
      <c r="AW5" s="36" t="s">
        <v>665</v>
      </c>
      <c r="AX5" s="3"/>
      <c r="AY5" s="3"/>
      <c r="AZ5" s="3"/>
    </row>
    <row r="6" spans="1:52" ht="19.95" customHeight="1" x14ac:dyDescent="0.3">
      <c r="A6" s="5"/>
      <c r="B6" s="13" t="s">
        <v>614</v>
      </c>
      <c r="C6" s="7" t="s">
        <v>615</v>
      </c>
      <c r="D6" s="8">
        <v>0</v>
      </c>
      <c r="E6" s="8">
        <v>1</v>
      </c>
      <c r="F6" s="9" t="s">
        <v>1</v>
      </c>
      <c r="G6" s="10" t="str" cm="1">
        <f t="array" ref="G6">IF(SUMPRODUCT((LEN($D$5:$D$10)&gt;0)*(LEN($E$5:$E$10)&gt;0))=0,"",IFERROR(INDEX($AN$5:$AN$8,MATCH(LARGE($AP$5:$AP$8,2),$AP$5:$AP$8,0)),""))</f>
        <v>CZECHIA</v>
      </c>
      <c r="H6" s="10" cm="1">
        <f t="array" ref="H6">IF(SUMPRODUCT((LEN($D$5:$D$10)&gt;0)*(LEN($E$5:$E$10)&gt;0))=0,"",IFERROR(INDEX($AO$5:$AO$8,MATCH(LARGE($AP$5:$AP$8,2),$AP$5:$AP$8,0)),""))</f>
        <v>5</v>
      </c>
      <c r="J6" s="14" t="str">
        <f>AU26</f>
        <v>3D</v>
      </c>
      <c r="K6" s="15" t="str">
        <f>_xlfn.XLOOKUP(J6,$F$5:$F$85,$G$5:$G$85, "")</f>
        <v>USA</v>
      </c>
      <c r="L6" s="61"/>
      <c r="M6" s="63"/>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1</v>
      </c>
      <c r="AP6" s="34">
        <f>AO6*1000000+(AQ6-AR6)*1000+AQ6*10-1</f>
        <v>998029</v>
      </c>
      <c r="AQ6" s="34" cm="1">
        <f t="array" ref="AQ6">SUMPRODUCT(($B$5:$B$10=AN6)*$D$5:$D$10)+SUMPRODUCT(($C$5:$C$10=AN6)*$E$5:$E$10)</f>
        <v>3</v>
      </c>
      <c r="AR6" s="34" cm="1">
        <f t="array" ref="AR6">SUMPRODUCT(($B$5:$B$10=AN6)*$E$5:$E$10)+SUMPRODUCT(($C$5:$C$10=AN6)*$D$5:$D$10)</f>
        <v>5</v>
      </c>
      <c r="AT6" s="36" t="s">
        <v>2</v>
      </c>
      <c r="AU6" s="36" t="str">
        <f t="shared" ref="AU6:AU17" si="0">_xlfn.XLOOKUP(AT6,$F$5:$F$85,$G$5:$G$85,"")</f>
        <v>SOUTH KOREA</v>
      </c>
      <c r="AV6" s="36" cm="1">
        <f t="array" ref="AV6">IF(SUMPRODUCT((LEN($D$5:$D$10)&gt;0)*(LEN($E$5:$E$10)&gt;0))=0,"",LARGE($AP$5:$AP$8,3)-0)</f>
        <v>4000038</v>
      </c>
      <c r="AW6" s="36">
        <f t="shared" ref="AW6:AW17" si="1">IF(AV6="","",RANK(AV6,$AV$6:$AV$17,0))</f>
        <v>2</v>
      </c>
      <c r="AX6" s="3"/>
      <c r="AY6" s="3"/>
      <c r="AZ6" s="3"/>
    </row>
    <row r="7" spans="1:52" ht="19.95" customHeight="1" x14ac:dyDescent="0.3">
      <c r="A7" s="5"/>
      <c r="B7" s="13" t="s">
        <v>615</v>
      </c>
      <c r="C7" s="7" t="s">
        <v>613</v>
      </c>
      <c r="D7" s="8">
        <v>1</v>
      </c>
      <c r="E7" s="8">
        <v>1</v>
      </c>
      <c r="F7" s="16" t="s">
        <v>2</v>
      </c>
      <c r="G7" s="17" t="str" cm="1">
        <f t="array" ref="G7">IF(SUMPRODUCT((LEN($D$5:$D$10)&gt;0)*(LEN($E$5:$E$10)&gt;0))=0,"",IFERROR(INDEX($AN$5:$AN$8,MATCH(LARGE($AP$5:$AP$8,3),$AP$5:$AP$8,0)),""))</f>
        <v>SOUTH KOREA</v>
      </c>
      <c r="H7" s="17" cm="1">
        <f t="array" ref="H7">IF(SUMPRODUCT((LEN($D$5:$D$10)&gt;0)*(LEN($E$5:$E$10)&gt;0))=0,"",IFERROR(INDEX($AO$5:$AO$8,MATCH(LARGE($AP$5:$AP$8,3),$AP$5:$AP$8,0)),""))</f>
        <v>4</v>
      </c>
      <c r="J7" s="4"/>
      <c r="K7" s="4"/>
      <c r="L7" s="4"/>
      <c r="M7" s="4"/>
      <c r="N7" s="4"/>
      <c r="O7" s="11" t="s">
        <v>65</v>
      </c>
      <c r="P7" s="12" t="str">
        <f>IF(L5="","",IF(L5=1, K5, K6))</f>
        <v>GERMANY</v>
      </c>
      <c r="Q7" s="60">
        <v>2</v>
      </c>
      <c r="R7" s="62"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4000038</v>
      </c>
      <c r="AQ7" s="34" cm="1">
        <f t="array" ref="AQ7">SUMPRODUCT(($B$5:$B$10=AN7)*$D$5:$D$10)+SUMPRODUCT(($C$5:$C$10=AN7)*$E$5:$E$10)</f>
        <v>4</v>
      </c>
      <c r="AR7" s="34" cm="1">
        <f t="array" ref="AR7">SUMPRODUCT(($B$5:$B$10=AN7)*$E$5:$E$10)+SUMPRODUCT(($C$5:$C$10=AN7)*$D$5:$D$10)</f>
        <v>4</v>
      </c>
      <c r="AT7" s="36" t="s">
        <v>6</v>
      </c>
      <c r="AU7" s="36" t="str">
        <f t="shared" si="0"/>
        <v>BOSNIA H.</v>
      </c>
      <c r="AV7" s="36" cm="1">
        <f t="array" ref="AV7">IF(SUMPRODUCT((LEN($D$12:$D$17)&gt;0)*(LEN($E$12:$E$17)&gt;0))=0,"",LARGE($AP$12:$AP$15,3)-1)</f>
        <v>3999028</v>
      </c>
      <c r="AW7" s="36">
        <f t="shared" si="1"/>
        <v>6</v>
      </c>
      <c r="AX7" s="3"/>
      <c r="AY7" s="3"/>
      <c r="AZ7" s="3"/>
    </row>
    <row r="8" spans="1:52" ht="19.95" customHeight="1" x14ac:dyDescent="0.3">
      <c r="A8" s="5"/>
      <c r="B8" s="13" t="s">
        <v>612</v>
      </c>
      <c r="C8" s="7" t="s">
        <v>614</v>
      </c>
      <c r="D8" s="8">
        <v>2</v>
      </c>
      <c r="E8" s="8">
        <v>2</v>
      </c>
      <c r="F8" s="18" t="s">
        <v>3</v>
      </c>
      <c r="G8" s="7" t="str" cm="1">
        <f t="array" ref="G8">IF(SUMPRODUCT((LEN($D$5:$D$10)&gt;0)*(LEN($E$5:$E$10)&gt;0))=0,"",IFERROR(INDEX($AN$5:$AN$8,MATCH(LARGE($AP$5:$AP$8,4),$AP$5:$AP$8,0)),""))</f>
        <v>SOUTH AFRICA</v>
      </c>
      <c r="H8" s="7" cm="1">
        <f t="array" ref="H8">IF(SUMPRODUCT((LEN($D$5:$D$10)&gt;0)*(LEN($E$5:$E$10)&gt;0))=0,"",IFERROR(INDEX($AO$5:$AO$8,MATCH(LARGE($AP$5:$AP$8,4),$AP$5:$AP$8,0)),""))</f>
        <v>1</v>
      </c>
      <c r="J8" s="4"/>
      <c r="K8" s="4"/>
      <c r="L8" s="4"/>
      <c r="M8" s="4"/>
      <c r="N8" s="4"/>
      <c r="O8" s="14" t="s">
        <v>66</v>
      </c>
      <c r="P8" s="15" t="str">
        <f>IF(L9="","",IF(L9=1, K9, K10))</f>
        <v>FRANCE</v>
      </c>
      <c r="Q8" s="61"/>
      <c r="R8" s="63"/>
      <c r="S8" s="4"/>
      <c r="T8" s="4"/>
      <c r="U8" s="4"/>
      <c r="V8" s="4"/>
      <c r="W8" s="4"/>
      <c r="X8" s="4"/>
      <c r="Y8" s="4"/>
      <c r="Z8" s="4"/>
      <c r="AA8" s="4"/>
      <c r="AB8" s="4"/>
      <c r="AH8" s="19"/>
      <c r="AN8" s="34" t="str">
        <f>C6</f>
        <v>CZECHIA</v>
      </c>
      <c r="AO8" s="34" cm="1">
        <f t="array" ref="AO8">3*SUMPRODUCT(($B$5:$B$10=AN8)*($D$5:$D$10&gt;$E$5:$E$10))+3*SUMPRODUCT(($C$5:$C$10=AN8)*($E$5:$E$10&gt;$D$5:$D$10))+SUMPRODUCT((($B$5:$B$10=AN8)+($C$5:$C$10=AN8))*($D$5:$D$10=$E$5:$E$10)*(LEN($D$5:$D$10)&gt;0))</f>
        <v>5</v>
      </c>
      <c r="AP8" s="34">
        <f>AO8*1000000+(AQ8-AR8)*1000+AQ8*10-3</f>
        <v>5001017</v>
      </c>
      <c r="AQ8" s="34" cm="1">
        <f t="array" ref="AQ8">SUMPRODUCT(($B$5:$B$10=AN8)*$D$5:$D$10)+SUMPRODUCT(($C$5:$C$10=AN8)*$E$5:$E$10)</f>
        <v>2</v>
      </c>
      <c r="AR8" s="34" cm="1">
        <f t="array" ref="AR8">SUMPRODUCT(($B$5:$B$10=AN8)*$E$5:$E$10)+SUMPRODUCT(($C$5:$C$10=AN8)*$D$5:$D$10)</f>
        <v>1</v>
      </c>
      <c r="AT8" s="36" t="s">
        <v>10</v>
      </c>
      <c r="AU8" s="36" t="str">
        <f t="shared" si="0"/>
        <v>SCOTLAND</v>
      </c>
      <c r="AV8" s="36" cm="1">
        <f t="array" ref="AV8">IF(SUMPRODUCT((LEN($D$19:$D$24)&gt;0)*(LEN($E$19:$E$24)&gt;0))=0,"",LARGE($AP$19:$AP$22,3)-2)</f>
        <v>3000025</v>
      </c>
      <c r="AW8" s="36">
        <f t="shared" si="1"/>
        <v>9</v>
      </c>
      <c r="AX8" s="3"/>
      <c r="AY8" s="3"/>
      <c r="AZ8" s="3"/>
    </row>
    <row r="9" spans="1:52" ht="19.95" customHeight="1" x14ac:dyDescent="0.3">
      <c r="A9" s="5"/>
      <c r="B9" s="13" t="s">
        <v>615</v>
      </c>
      <c r="C9" s="7" t="s">
        <v>612</v>
      </c>
      <c r="D9" s="8">
        <v>0</v>
      </c>
      <c r="E9" s="8">
        <v>0</v>
      </c>
      <c r="F9" s="18"/>
      <c r="G9" s="20"/>
      <c r="H9" s="21"/>
      <c r="J9" s="11" t="s">
        <v>49</v>
      </c>
      <c r="K9" s="12" t="str">
        <f>_xlfn.XLOOKUP(J9,$F$5:$F$85,$G$5:$G$85, "")</f>
        <v>FRANCE</v>
      </c>
      <c r="L9" s="60">
        <v>1</v>
      </c>
      <c r="M9" s="62" t="s">
        <v>66</v>
      </c>
      <c r="N9" s="4"/>
      <c r="O9" s="4"/>
      <c r="P9" s="4"/>
      <c r="Q9" s="4"/>
      <c r="R9" s="4"/>
      <c r="S9" s="4"/>
      <c r="T9" s="4"/>
      <c r="U9" s="4"/>
      <c r="V9" s="4"/>
      <c r="W9" s="4"/>
      <c r="X9" s="4"/>
      <c r="Y9" s="4"/>
      <c r="Z9" s="4"/>
      <c r="AA9" s="4"/>
      <c r="AB9" s="4"/>
      <c r="AT9" s="36" t="s">
        <v>14</v>
      </c>
      <c r="AU9" s="36" t="str">
        <f t="shared" si="0"/>
        <v>USA</v>
      </c>
      <c r="AV9" s="36" cm="1">
        <f t="array" ref="AV9">IF(SUMPRODUCT((LEN($D$26:$D$31)&gt;0)*(LEN($E$26:$E$31)&gt;0))=0,"",LARGE($AP$26:$AP$29,3)-3)</f>
        <v>3000027</v>
      </c>
      <c r="AW9" s="36">
        <f t="shared" si="1"/>
        <v>8</v>
      </c>
      <c r="AX9" s="3"/>
      <c r="AY9" s="3"/>
      <c r="AZ9" s="3"/>
    </row>
    <row r="10" spans="1:52" ht="19.95" customHeight="1" x14ac:dyDescent="0.3">
      <c r="A10" s="5"/>
      <c r="B10" s="6" t="s">
        <v>613</v>
      </c>
      <c r="C10" s="22" t="s">
        <v>614</v>
      </c>
      <c r="D10" s="8">
        <v>1</v>
      </c>
      <c r="E10" s="8">
        <v>2</v>
      </c>
      <c r="F10" s="6"/>
      <c r="G10" s="23"/>
      <c r="H10" s="24"/>
      <c r="J10" s="14" t="str">
        <f>AU28</f>
        <v>3F</v>
      </c>
      <c r="K10" s="15" t="str">
        <f>_xlfn.XLOOKUP(J10,$F$5:$F$85,$G$5:$G$85, "")</f>
        <v>SWEDEN</v>
      </c>
      <c r="L10" s="61"/>
      <c r="M10" s="63"/>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4001014</v>
      </c>
      <c r="AW10" s="36">
        <f t="shared" si="1"/>
        <v>1</v>
      </c>
      <c r="AX10" s="3"/>
      <c r="AY10" s="3"/>
      <c r="AZ10" s="3"/>
    </row>
    <row r="11" spans="1:52" ht="19.95" customHeight="1" x14ac:dyDescent="0.3">
      <c r="B11" s="67" t="s">
        <v>599</v>
      </c>
      <c r="C11" s="68"/>
      <c r="D11" s="68"/>
      <c r="E11" s="68"/>
      <c r="F11" s="68"/>
      <c r="G11" s="68"/>
      <c r="H11" s="69"/>
      <c r="J11" s="4"/>
      <c r="K11" s="4"/>
      <c r="L11" s="4"/>
      <c r="M11" s="4"/>
      <c r="N11" s="4"/>
      <c r="O11" s="4"/>
      <c r="P11" s="4"/>
      <c r="Q11" s="4"/>
      <c r="R11" s="4"/>
      <c r="S11" s="4"/>
      <c r="T11" s="11" t="s">
        <v>24</v>
      </c>
      <c r="U11" s="12" t="str">
        <f>IF(Q7="","",IF(Q7=1, P7, P8))</f>
        <v>FRANCE</v>
      </c>
      <c r="V11" s="60">
        <v>1</v>
      </c>
      <c r="W11" s="62" t="s">
        <v>32</v>
      </c>
      <c r="X11" s="4"/>
      <c r="Y11" s="4"/>
      <c r="Z11" s="4"/>
      <c r="AA11" s="4"/>
      <c r="AB11" s="4"/>
      <c r="AT11" s="36" t="s">
        <v>22</v>
      </c>
      <c r="AU11" s="36" t="str">
        <f t="shared" si="0"/>
        <v>SWEDEN</v>
      </c>
      <c r="AV11" s="36" cm="1">
        <f t="array" ref="AV11">IF(SUMPRODUCT((LEN($D$40:$D$45)&gt;0)*(LEN($E$40:$E$45)&gt;0))=0,"",LARGE($AP$40:$AP$43,3)-5)</f>
        <v>4000033</v>
      </c>
      <c r="AW11" s="36">
        <f t="shared" si="1"/>
        <v>3</v>
      </c>
      <c r="AX11" s="3"/>
      <c r="AY11" s="3"/>
      <c r="AZ11" s="3"/>
    </row>
    <row r="12" spans="1:52" ht="19.95" customHeight="1" x14ac:dyDescent="0.3">
      <c r="A12" s="5"/>
      <c r="B12" s="7" t="s">
        <v>616</v>
      </c>
      <c r="C12" s="7" t="s">
        <v>623</v>
      </c>
      <c r="D12" s="8">
        <v>2</v>
      </c>
      <c r="E12" s="8">
        <v>0</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JAPAN</v>
      </c>
      <c r="V12" s="61"/>
      <c r="W12" s="63"/>
      <c r="X12" s="4"/>
      <c r="Y12" s="4"/>
      <c r="Z12" s="4"/>
      <c r="AA12" s="4"/>
      <c r="AB12" s="4"/>
      <c r="AN12" s="34" t="str">
        <f>B12</f>
        <v>CANADA</v>
      </c>
      <c r="AO12" s="34" cm="1">
        <f t="array" ref="AO12">3*SUMPRODUCT(($B$12:$B$17=AN12)*($D$12:$D$17&gt;$E$12:$E$17))+3*SUMPRODUCT(($C$12:$C$17=AN12)*($E$12:$E$17&gt;$D$12:$D$17))+SUMPRODUCT((($B$12:$B$17=AN12)+($C$12:$C$17=AN12))*($D$12:$D$17=$E$12:$E$17)*(LEN($D$12:$D$17)&gt;0))</f>
        <v>6</v>
      </c>
      <c r="AP12" s="34">
        <f>AO12*1000000+(AQ12-AR12)*1000+AQ12*10-0</f>
        <v>6003060</v>
      </c>
      <c r="AQ12" s="34" cm="1">
        <f t="array" ref="AQ12">SUMPRODUCT(($B$12:$B$17=AN12)*$D$12:$D$17)+SUMPRODUCT(($C$12:$C$17=AN12)*$E$12:$E$17)</f>
        <v>6</v>
      </c>
      <c r="AR12" s="34" cm="1">
        <f t="array" ref="AR12">SUMPRODUCT(($B$12:$B$17=AN12)*$E$12:$E$17)+SUMPRODUCT(($C$12:$C$17=AN12)*$D$12:$D$17)</f>
        <v>3</v>
      </c>
      <c r="AT12" s="36" t="s">
        <v>43</v>
      </c>
      <c r="AU12" s="36" t="str">
        <f t="shared" si="0"/>
        <v>EGYPT</v>
      </c>
      <c r="AV12" s="36" cm="1">
        <f t="array" ref="AV12">IF(SUMPRODUCT((LEN($D$47:$D$52)&gt;0)*(LEN($E$47:$E$52)&gt;0))=0,"",LARGE($AP$47:$AP$50,3)-6)</f>
        <v>2998033</v>
      </c>
      <c r="AW12" s="36">
        <f t="shared" si="1"/>
        <v>10</v>
      </c>
      <c r="AX12" s="3"/>
      <c r="AY12" s="3"/>
      <c r="AZ12" s="3"/>
    </row>
    <row r="13" spans="1:52" ht="19.95" customHeight="1" x14ac:dyDescent="0.3">
      <c r="A13" s="5"/>
      <c r="B13" s="7" t="s">
        <v>617</v>
      </c>
      <c r="C13" s="7" t="s">
        <v>618</v>
      </c>
      <c r="D13" s="8">
        <v>0</v>
      </c>
      <c r="E13" s="8">
        <v>4</v>
      </c>
      <c r="F13" s="25" t="s">
        <v>5</v>
      </c>
      <c r="G13" s="10" t="str" cm="1">
        <f t="array" ref="G13">IF(SUMPRODUCT((LEN($D$12:$D$17)&gt;0)*(LEN($E$12:$E$17)&gt;0))=0,"",IFERROR(INDEX($AN$12:$AN$15,MATCH(LARGE($AP$12:$AP$15,2),$AP$12:$AP$15,0)),""))</f>
        <v>CANADA</v>
      </c>
      <c r="H13" s="10" cm="1">
        <f t="array" ref="H13">IF(SUMPRODUCT((LEN($D$12:$D$17)&gt;0)*(LEN($E$12:$E$17)&gt;0))=0,"",IFERROR(INDEX($AO$12:$AO$15,MATCH(LARGE($AP$12:$AP$15,2),$AP$12:$AP$15,0)),""))</f>
        <v>6</v>
      </c>
      <c r="J13" s="11" t="s">
        <v>1</v>
      </c>
      <c r="K13" s="12" t="str">
        <f>_xlfn.XLOOKUP(J13,$F$5:$F$85,$G$5:$G$85, "")</f>
        <v>CZECHIA</v>
      </c>
      <c r="L13" s="60">
        <v>1</v>
      </c>
      <c r="M13" s="62"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4</v>
      </c>
      <c r="AP13" s="34">
        <f>AO13*1000000+(AQ13-AR13)*1000+AQ13*10-1</f>
        <v>3999029</v>
      </c>
      <c r="AQ13" s="34" cm="1">
        <f t="array" ref="AQ13">SUMPRODUCT(($B$12:$B$17=AN13)*$D$12:$D$17)+SUMPRODUCT(($C$12:$C$17=AN13)*$E$12:$E$17)</f>
        <v>3</v>
      </c>
      <c r="AR13" s="34" cm="1">
        <f t="array" ref="AR13">SUMPRODUCT(($B$12:$B$17=AN13)*$E$12:$E$17)+SUMPRODUCT(($C$12:$C$17=AN13)*$D$12:$D$17)</f>
        <v>4</v>
      </c>
      <c r="AT13" s="36" t="s">
        <v>47</v>
      </c>
      <c r="AU13" s="36" t="str">
        <f t="shared" si="0"/>
        <v>SAUDI ARABIA</v>
      </c>
      <c r="AV13" s="36" cm="1">
        <f t="array" ref="AV13">IF(SUMPRODUCT((LEN($D$54:$D$59)&gt;0)*(LEN($E$54:$E$59)&gt;0))=0,"",LARGE($AP$54:$AP$57,3)-7)</f>
        <v>3998031</v>
      </c>
      <c r="AW13" s="36">
        <f t="shared" si="1"/>
        <v>7</v>
      </c>
      <c r="AX13" s="3"/>
      <c r="AY13" s="3"/>
      <c r="AZ13" s="3"/>
    </row>
    <row r="14" spans="1:52" ht="19.95" customHeight="1" x14ac:dyDescent="0.3">
      <c r="A14" s="5"/>
      <c r="B14" s="7" t="s">
        <v>618</v>
      </c>
      <c r="C14" s="7" t="s">
        <v>623</v>
      </c>
      <c r="D14" s="31">
        <v>1</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4</v>
      </c>
      <c r="J14" s="14" t="s">
        <v>5</v>
      </c>
      <c r="K14" s="15" t="str">
        <f>_xlfn.XLOOKUP(J14,$F$5:$F$85,$G$5:$G$85, "")</f>
        <v>CANADA</v>
      </c>
      <c r="L14" s="61"/>
      <c r="M14" s="63"/>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-6982</v>
      </c>
      <c r="AQ14" s="34" cm="1">
        <f t="array" ref="AQ14">SUMPRODUCT(($B$12:$B$17=AN14)*$D$12:$D$17)+SUMPRODUCT(($C$12:$C$17=AN14)*$E$12:$E$17)</f>
        <v>2</v>
      </c>
      <c r="AR14" s="34" cm="1">
        <f t="array" ref="AR14">SUMPRODUCT(($B$12:$B$17=AN14)*$E$12:$E$17)+SUMPRODUCT(($C$12:$C$17=AN14)*$D$12:$D$17)</f>
        <v>9</v>
      </c>
      <c r="AT14" s="36" t="s">
        <v>51</v>
      </c>
      <c r="AU14" s="36" t="str">
        <f t="shared" si="0"/>
        <v>SENEGAL</v>
      </c>
      <c r="AV14" s="36" cm="1">
        <f t="array" ref="AV14">IF(SUMPRODUCT((LEN($D$61:$D$66)&gt;0)*(LEN($E$61:$E$66)&gt;0))=0,"",LARGE($AP$61:$AP$64,3)-8)</f>
        <v>2998031</v>
      </c>
      <c r="AW14" s="36">
        <f t="shared" si="1"/>
        <v>11</v>
      </c>
      <c r="AX14" s="3"/>
      <c r="AY14" s="3"/>
      <c r="AZ14" s="3"/>
    </row>
    <row r="15" spans="1:52" ht="19.95" customHeight="1" x14ac:dyDescent="0.3">
      <c r="A15" s="5"/>
      <c r="B15" s="7" t="s">
        <v>616</v>
      </c>
      <c r="C15" s="7" t="s">
        <v>617</v>
      </c>
      <c r="D15" s="8">
        <v>3</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CZECHIA</v>
      </c>
      <c r="Q15" s="60">
        <v>2</v>
      </c>
      <c r="R15" s="62"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7005067</v>
      </c>
      <c r="AQ15" s="34" cm="1">
        <f t="array" ref="AQ15">SUMPRODUCT(($B$12:$B$17=AN15)*$D$12:$D$17)+SUMPRODUCT(($C$12:$C$17=AN15)*$E$12:$E$17)</f>
        <v>7</v>
      </c>
      <c r="AR15" s="34" cm="1">
        <f t="array" ref="AR15">SUMPRODUCT(($B$12:$B$17=AN15)*$E$12:$E$17)+SUMPRODUCT(($C$12:$C$17=AN15)*$D$12:$D$17)</f>
        <v>2</v>
      </c>
      <c r="AT15" s="36" t="s">
        <v>55</v>
      </c>
      <c r="AU15" s="36" t="str">
        <f t="shared" si="0"/>
        <v>ALGERIA</v>
      </c>
      <c r="AV15" s="36" cm="1">
        <f t="array" ref="AV15">IF(SUMPRODUCT((LEN($D$68:$D$73)&gt;0)*(LEN($E$68:$E$73)&gt;0))=0,"",LARGE($AP$68:$AP$71,3)-9)</f>
        <v>4000030</v>
      </c>
      <c r="AW15" s="36">
        <f t="shared" si="1"/>
        <v>4</v>
      </c>
      <c r="AX15" s="3"/>
      <c r="AY15" s="3"/>
      <c r="AZ15" s="3"/>
    </row>
    <row r="16" spans="1:52" ht="19.95" customHeight="1" x14ac:dyDescent="0.3">
      <c r="A16" s="5"/>
      <c r="B16" s="7" t="s">
        <v>618</v>
      </c>
      <c r="C16" s="7" t="s">
        <v>616</v>
      </c>
      <c r="D16" s="8">
        <v>2</v>
      </c>
      <c r="E16" s="8">
        <v>1</v>
      </c>
      <c r="H16" s="28"/>
      <c r="J16" s="4"/>
      <c r="K16" s="4"/>
      <c r="L16" s="4"/>
      <c r="M16" s="4"/>
      <c r="N16" s="4"/>
      <c r="O16" s="14" t="s">
        <v>68</v>
      </c>
      <c r="P16" s="15" t="str">
        <f>IF(L17="","",IF(L17=1, K17, K18))</f>
        <v>JAPAN</v>
      </c>
      <c r="Q16" s="61"/>
      <c r="R16" s="63"/>
      <c r="S16" s="4"/>
      <c r="T16" s="4"/>
      <c r="U16" s="4"/>
      <c r="V16" s="4"/>
      <c r="W16" s="4"/>
      <c r="X16" s="4"/>
      <c r="Y16" s="4"/>
      <c r="Z16" s="4"/>
      <c r="AA16" s="4"/>
      <c r="AB16" s="4"/>
      <c r="AT16" s="36" t="s">
        <v>59</v>
      </c>
      <c r="AU16" s="36" t="str">
        <f t="shared" si="0"/>
        <v>DR CONGO</v>
      </c>
      <c r="AV16" s="36" cm="1">
        <f t="array" ref="AV16">IF(SUMPRODUCT((LEN($D$75:$D$80)&gt;0)*(LEN($E$75:$E$80)&gt;0))=0,"",LARGE($AP$75:$AP$78,3)-10)</f>
        <v>2997019</v>
      </c>
      <c r="AW16" s="36">
        <f t="shared" si="1"/>
        <v>12</v>
      </c>
      <c r="AX16" s="3"/>
      <c r="AY16" s="3"/>
      <c r="AZ16" s="3"/>
    </row>
    <row r="17" spans="1:52" ht="19.95" customHeight="1" x14ac:dyDescent="0.3">
      <c r="A17" s="5"/>
      <c r="B17" s="7" t="s">
        <v>623</v>
      </c>
      <c r="C17" s="7" t="s">
        <v>617</v>
      </c>
      <c r="D17" s="8">
        <v>2</v>
      </c>
      <c r="E17" s="8">
        <v>1</v>
      </c>
      <c r="F17" s="23"/>
      <c r="G17" s="23"/>
      <c r="H17" s="24"/>
      <c r="J17" s="11" t="s">
        <v>20</v>
      </c>
      <c r="K17" s="12" t="str">
        <f>_xlfn.XLOOKUP(J17,$F$5:$F$85,$G$5:$G$85, "")</f>
        <v>JAPAN</v>
      </c>
      <c r="L17" s="60">
        <v>1</v>
      </c>
      <c r="M17" s="62"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4000007</v>
      </c>
      <c r="AW17" s="36">
        <f t="shared" si="1"/>
        <v>5</v>
      </c>
      <c r="AX17" s="3"/>
      <c r="AY17" s="3"/>
      <c r="AZ17" s="3"/>
    </row>
    <row r="18" spans="1:52" ht="19.95" customHeight="1" x14ac:dyDescent="0.3">
      <c r="B18" s="67" t="s">
        <v>600</v>
      </c>
      <c r="C18" s="68"/>
      <c r="D18" s="68"/>
      <c r="E18" s="68"/>
      <c r="F18" s="68"/>
      <c r="G18" s="68"/>
      <c r="H18" s="69"/>
      <c r="J18" s="14" t="s">
        <v>9</v>
      </c>
      <c r="K18" s="15" t="str">
        <f>_xlfn.XLOOKUP(J18,$F$5:$F$85,$G$5:$G$85, "")</f>
        <v>MOROCCO</v>
      </c>
      <c r="L18" s="61"/>
      <c r="M18" s="63"/>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2</v>
      </c>
      <c r="E19" s="8">
        <v>2</v>
      </c>
      <c r="F19" s="25" t="s">
        <v>8</v>
      </c>
      <c r="G19" s="10" t="str" cm="1">
        <f t="array" ref="G19">IF(SUMPRODUCT((LEN($D$19:$D$24)&gt;0)*(LEN($E$19:$E$24)&gt;0))=0,"",IFERROR(INDEX($AN$19:$AN$22,MATCH(LARGE($AP$19:$AP$22,1),$AP$19:$AP$22,0)),""))</f>
        <v>BRAZIL</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FRANCE</v>
      </c>
      <c r="AA19" s="60">
        <v>2</v>
      </c>
      <c r="AB19" s="62" t="s">
        <v>36</v>
      </c>
      <c r="AN19" s="34" t="str">
        <f>B19</f>
        <v>BRAZIL</v>
      </c>
      <c r="AO19" s="34" cm="1">
        <f t="array" ref="AO19">3*SUMPRODUCT(($B$19:$B$24=AN19)*($D$19:$D$24&gt;$E$19:$E$24))+3*SUMPRODUCT(($C$19:$C$24=AN19)*($E$19:$E$24&gt;$D$19:$D$24))+SUMPRODUCT((($B$19:$B$24=AN19)+($C$19:$C$24=AN19))*($D$19:$D$24=$E$19:$E$24)*(LEN($D$19:$D$24)&gt;0))</f>
        <v>7</v>
      </c>
      <c r="AP19" s="34">
        <f>AO19*1000000+(AQ19-AR19)*1000+AQ19*10-0</f>
        <v>7005070</v>
      </c>
      <c r="AQ19" s="34" cm="1">
        <f t="array" ref="AQ19">SUMPRODUCT(($B$19:$B$24=AN19)*$D$19:$D$24)+SUMPRODUCT(($C$19:$C$24=AN19)*$E$19:$E$24)</f>
        <v>7</v>
      </c>
      <c r="AR19" s="34" cm="1">
        <f t="array" ref="AR19">SUMPRODUCT(($B$19:$B$24=AN19)*$E$19:$E$24)+SUMPRODUCT(($C$19:$C$24=AN19)*$D$19:$D$24)</f>
        <v>2</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7</v>
      </c>
      <c r="J20" s="4"/>
      <c r="K20" s="4"/>
      <c r="L20" s="4"/>
      <c r="M20" s="4"/>
      <c r="N20" s="4"/>
      <c r="O20" s="4"/>
      <c r="P20" s="4"/>
      <c r="Q20" s="4"/>
      <c r="R20" s="4"/>
      <c r="S20" s="4"/>
      <c r="T20" s="4"/>
      <c r="U20" s="4"/>
      <c r="V20" s="4"/>
      <c r="W20" s="4"/>
      <c r="X20" s="4"/>
      <c r="Y20" s="14" t="s">
        <v>33</v>
      </c>
      <c r="Z20" s="15" t="str">
        <f>IF(V27="","",IF(V27=1, U27, U28))</f>
        <v>SPAIN</v>
      </c>
      <c r="AA20" s="61"/>
      <c r="AB20" s="63"/>
      <c r="AN20" s="34" t="str">
        <f>C19</f>
        <v>MOROCCO</v>
      </c>
      <c r="AO20" s="34" cm="1">
        <f t="array" ref="AO20">3*SUMPRODUCT(($B$19:$B$24=AN20)*($D$19:$D$24&gt;$E$19:$E$24))+3*SUMPRODUCT(($C$19:$C$24=AN20)*($E$19:$E$24&gt;$D$19:$D$24))+SUMPRODUCT((($B$19:$B$24=AN20)+($C$19:$C$24=AN20))*($D$19:$D$24=$E$19:$E$24)*(LEN($D$19:$D$24)&gt;0))</f>
        <v>7</v>
      </c>
      <c r="AP20" s="34">
        <f>AO20*1000000+(AQ20-AR20)*1000+AQ20*10-1</f>
        <v>7003069</v>
      </c>
      <c r="AQ20" s="34" cm="1">
        <f t="array" ref="AQ20">SUMPRODUCT(($B$19:$B$24=AN20)*$D$19:$D$24)+SUMPRODUCT(($C$19:$C$24=AN20)*$E$19:$E$24)</f>
        <v>7</v>
      </c>
      <c r="AR20" s="34" cm="1">
        <f t="array" ref="AR20">SUMPRODUCT(($B$19:$B$24=AN20)*$E$19:$E$24)+SUMPRODUCT(($C$19:$C$24=AN20)*$D$19:$D$24)</f>
        <v>4</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ABDEFHJL</v>
      </c>
      <c r="AW20" s="35"/>
      <c r="AX20" s="3"/>
      <c r="AY20" s="3"/>
      <c r="AZ20" s="3"/>
    </row>
    <row r="21" spans="1:52" ht="19.95" customHeight="1" x14ac:dyDescent="0.3">
      <c r="A21" s="5"/>
      <c r="B21" s="7" t="s">
        <v>622</v>
      </c>
      <c r="C21" s="7" t="s">
        <v>620</v>
      </c>
      <c r="D21" s="8">
        <v>1</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60">
        <v>2</v>
      </c>
      <c r="M21" s="62"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-7992</v>
      </c>
      <c r="AQ21" s="34" cm="1">
        <f t="array" ref="AQ21">SUMPRODUCT(($B$19:$B$24=AN21)*$D$19:$D$24)+SUMPRODUCT(($C$19:$C$24=AN21)*$E$19:$E$24)</f>
        <v>1</v>
      </c>
      <c r="AR21" s="34" cm="1">
        <f t="array" ref="AR21">SUMPRODUCT(($B$19:$B$24=AN21)*$E$19:$E$24)+SUMPRODUCT(($C$19:$C$24=AN21)*$D$19:$D$24)</f>
        <v>9</v>
      </c>
      <c r="AW21" s="35"/>
      <c r="AX21" s="3"/>
      <c r="AY21" s="3"/>
      <c r="AZ21" s="3"/>
    </row>
    <row r="22" spans="1:52" ht="19.95" customHeight="1" x14ac:dyDescent="0.3">
      <c r="A22" s="5"/>
      <c r="B22" s="7" t="s">
        <v>619</v>
      </c>
      <c r="C22" s="7" t="s">
        <v>621</v>
      </c>
      <c r="D22" s="31">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ENGLAND</v>
      </c>
      <c r="L22" s="61"/>
      <c r="M22" s="63"/>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3000027</v>
      </c>
      <c r="AQ22" s="34" cm="1">
        <f t="array" ref="AQ22">SUMPRODUCT(($B$19:$B$24=AN22)*$D$19:$D$24)+SUMPRODUCT(($C$19:$C$24=AN22)*$E$19:$E$24)</f>
        <v>3</v>
      </c>
      <c r="AR22" s="34" cm="1">
        <f t="array" ref="AR22">SUMPRODUCT(($B$19:$B$24=AN22)*$E$19:$E$24)+SUMPRODUCT(($C$19:$C$24=AN22)*$D$19:$D$24)</f>
        <v>3</v>
      </c>
      <c r="AT22" s="34" t="s">
        <v>85</v>
      </c>
      <c r="AU22" s="34" t="s">
        <v>610</v>
      </c>
      <c r="AW22" s="35"/>
      <c r="AX22" s="3"/>
      <c r="AY22" s="3"/>
      <c r="AZ22" s="3"/>
    </row>
    <row r="23" spans="1:52" ht="19.95" customHeight="1" x14ac:dyDescent="0.3">
      <c r="A23" s="5"/>
      <c r="B23" s="7" t="s">
        <v>622</v>
      </c>
      <c r="C23" s="7" t="s">
        <v>619</v>
      </c>
      <c r="D23" s="8">
        <v>0</v>
      </c>
      <c r="E23" s="8">
        <v>1</v>
      </c>
      <c r="H23" s="28"/>
      <c r="J23" s="4"/>
      <c r="K23" s="4"/>
      <c r="L23" s="4"/>
      <c r="M23" s="4"/>
      <c r="N23" s="4"/>
      <c r="O23" s="11" t="s">
        <v>69</v>
      </c>
      <c r="P23" s="12" t="str">
        <f>IF(L21="","",IF(L21=1, K21, K22))</f>
        <v>ENGLAND</v>
      </c>
      <c r="Q23" s="60">
        <v>2</v>
      </c>
      <c r="R23" s="62" t="s">
        <v>26</v>
      </c>
      <c r="S23" s="4"/>
      <c r="T23" s="4"/>
      <c r="U23" s="4"/>
      <c r="V23" s="4"/>
      <c r="W23" s="4"/>
      <c r="X23" s="4"/>
      <c r="Y23" s="4"/>
      <c r="Z23" s="4"/>
      <c r="AA23" s="4"/>
      <c r="AB23" s="4"/>
      <c r="AT23" s="34" t="s">
        <v>0</v>
      </c>
      <c r="AU23" s="34" t="str">
        <f>IF($AT$20="","",IFERROR(VLOOKUP($AT$20,Terze!$B$2:$J$496,2,FALSE),""))</f>
        <v>3H</v>
      </c>
      <c r="AW23" s="35"/>
      <c r="AX23" s="3"/>
      <c r="AY23" s="3"/>
      <c r="AZ23" s="3"/>
    </row>
    <row r="24" spans="1:52" ht="19.95" customHeight="1" x14ac:dyDescent="0.3">
      <c r="A24" s="5"/>
      <c r="B24" s="7" t="s">
        <v>620</v>
      </c>
      <c r="C24" s="7" t="s">
        <v>621</v>
      </c>
      <c r="D24" s="8">
        <v>3</v>
      </c>
      <c r="E24" s="8">
        <v>1</v>
      </c>
      <c r="F24" s="23"/>
      <c r="G24" s="23"/>
      <c r="H24" s="24"/>
      <c r="J24" s="4"/>
      <c r="K24" s="4"/>
      <c r="L24" s="4"/>
      <c r="M24" s="4"/>
      <c r="N24" s="4"/>
      <c r="O24" s="14" t="s">
        <v>70</v>
      </c>
      <c r="P24" s="15" t="str">
        <f>IF(L25="","",IF(L25=1, K25, K26))</f>
        <v>SPAIN</v>
      </c>
      <c r="Q24" s="61"/>
      <c r="R24" s="63"/>
      <c r="S24" s="4"/>
      <c r="T24" s="4"/>
      <c r="U24" s="4"/>
      <c r="V24" s="4"/>
      <c r="W24" s="4"/>
      <c r="X24" s="4"/>
      <c r="Y24" s="4"/>
      <c r="Z24" s="4"/>
      <c r="AA24" s="4"/>
      <c r="AB24" s="4"/>
      <c r="AT24" s="34" t="s">
        <v>4</v>
      </c>
      <c r="AU24" s="34" t="str">
        <f>IF($AT$20="","",IFERROR(VLOOKUP($AT$20,Terze!$B$2:$J$496,3,FALSE),""))</f>
        <v>3J</v>
      </c>
      <c r="AW24" s="35"/>
      <c r="AX24" s="3"/>
      <c r="AY24" s="3"/>
      <c r="AZ24" s="3"/>
    </row>
    <row r="25" spans="1:52" ht="19.95" customHeight="1" x14ac:dyDescent="0.3">
      <c r="B25" s="67" t="s">
        <v>601</v>
      </c>
      <c r="C25" s="68"/>
      <c r="D25" s="68"/>
      <c r="E25" s="68"/>
      <c r="F25" s="68"/>
      <c r="G25" s="68"/>
      <c r="H25" s="69"/>
      <c r="J25" s="11" t="s">
        <v>45</v>
      </c>
      <c r="K25" s="12" t="str">
        <f>_xlfn.XLOOKUP(J25,$F$5:$F$85,$G$5:$G$85, "")</f>
        <v>SPAIN</v>
      </c>
      <c r="L25" s="60">
        <v>1</v>
      </c>
      <c r="M25" s="62"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0</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5</v>
      </c>
      <c r="J26" s="14" t="s">
        <v>54</v>
      </c>
      <c r="K26" s="15" t="str">
        <f>_xlfn.XLOOKUP(J26,$F$5:$F$85,$G$5:$G$85, "")</f>
        <v>AUSTRIA</v>
      </c>
      <c r="L26" s="61"/>
      <c r="M26" s="63"/>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3</v>
      </c>
      <c r="AP26" s="34">
        <f>AO26*1000000+(AQ26-AR26)*1000+AQ26*10-0</f>
        <v>3000030</v>
      </c>
      <c r="AQ26" s="34" cm="1">
        <f t="array" ref="AQ26">SUMPRODUCT(($B$26:$B$31=AN26)*$D$26:$D$31)+SUMPRODUCT(($C$26:$C$31=AN26)*$E$26:$E$31)</f>
        <v>3</v>
      </c>
      <c r="AR26" s="34" cm="1">
        <f t="array" ref="AR26">SUMPRODUCT(($B$26:$B$31=AN26)*$E$26:$E$31)+SUMPRODUCT(($C$26:$C$31=AN26)*$D$26:$D$31)</f>
        <v>3</v>
      </c>
      <c r="AT26" s="34" t="s">
        <v>16</v>
      </c>
      <c r="AU26" s="34" t="str">
        <f>IF($AT$20="","",IFERROR(VLOOKUP($AT$20,Terze!$B$2:$J$496,5,FALSE),""))</f>
        <v>3D</v>
      </c>
      <c r="AW26" s="35"/>
      <c r="AX26" s="3"/>
      <c r="AY26" s="3"/>
      <c r="AZ26" s="3"/>
    </row>
    <row r="27" spans="1:52" ht="19.95" customHeight="1" x14ac:dyDescent="0.3">
      <c r="A27" s="5"/>
      <c r="B27" s="7" t="s">
        <v>629</v>
      </c>
      <c r="C27" s="7" t="s">
        <v>630</v>
      </c>
      <c r="D27" s="40">
        <v>1</v>
      </c>
      <c r="E27" s="41">
        <v>2</v>
      </c>
      <c r="F27" s="25" t="s">
        <v>13</v>
      </c>
      <c r="G27" s="10" t="str" cm="1">
        <f t="array" ref="G27">IF(SUMPRODUCT((LEN($D$26:$D$31)&gt;0)*(LEN($E$26:$E$31)&gt;0))=0,"",IFERROR(INDEX($AN$26:$AN$29,MATCH(LARGE($AP$26:$AP$29,2),$AP$26:$AP$29,0)),""))</f>
        <v>PARAGUAY</v>
      </c>
      <c r="H27" s="10" cm="1">
        <f t="array" ref="H27">IF(SUMPRODUCT((LEN($D$26:$D$31)&gt;0)*(LEN($E$26:$E$31)&gt;0))=0,"",IFERROR(INDEX($AO$26:$AO$29,MATCH(LARGE($AP$26:$AP$29,2),$AP$26:$AP$29,0)),""))</f>
        <v>5</v>
      </c>
      <c r="J27" s="4"/>
      <c r="K27" s="4"/>
      <c r="L27" s="4"/>
      <c r="M27" s="4"/>
      <c r="N27" s="4"/>
      <c r="O27" s="4"/>
      <c r="P27" s="4"/>
      <c r="Q27" s="4"/>
      <c r="R27" s="4"/>
      <c r="S27" s="4"/>
      <c r="T27" s="11" t="s">
        <v>26</v>
      </c>
      <c r="U27" s="12" t="str">
        <f>IF(Q23="","",IF(Q23=1, P23, P24))</f>
        <v>SPAIN</v>
      </c>
      <c r="V27" s="60">
        <v>1</v>
      </c>
      <c r="W27" s="62" t="s">
        <v>33</v>
      </c>
      <c r="X27" s="4"/>
      <c r="Y27" s="4"/>
      <c r="Z27" s="4"/>
      <c r="AA27" s="4"/>
      <c r="AB27" s="4"/>
      <c r="AN27" s="34" t="str">
        <f>C26</f>
        <v>PARAGUAY</v>
      </c>
      <c r="AO27" s="34" cm="1">
        <f t="array" ref="AO27">3*SUMPRODUCT(($B$26:$B$31=AN27)*($D$26:$D$31&gt;$E$26:$E$31))+3*SUMPRODUCT(($C$26:$C$31=AN27)*($E$26:$E$31&gt;$D$26:$D$31))+SUMPRODUCT((($B$26:$B$31=AN27)+($C$26:$C$31=AN27))*($D$26:$D$31=$E$26:$E$31)*(LEN($D$26:$D$31)&gt;0))</f>
        <v>5</v>
      </c>
      <c r="AP27" s="34">
        <f>AO27*1000000+(AQ27-AR27)*1000+AQ27*10-1</f>
        <v>5001009</v>
      </c>
      <c r="AQ27" s="34" cm="1">
        <f t="array" ref="AQ27">SUMPRODUCT(($B$26:$B$31=AN27)*$D$26:$D$31)+SUMPRODUCT(($C$26:$C$31=AN27)*$E$26:$E$31)</f>
        <v>1</v>
      </c>
      <c r="AR27" s="34" cm="1">
        <f t="array" ref="AR27">SUMPRODUCT(($B$26:$B$31=AN27)*$E$26:$E$31)+SUMPRODUCT(($C$26:$C$31=AN27)*$D$26:$D$31)</f>
        <v>0</v>
      </c>
      <c r="AT27" s="34" t="s">
        <v>41</v>
      </c>
      <c r="AU27" s="34" t="str">
        <f>IF($AT$20="","",IFERROR(VLOOKUP($AT$20,Terze!$B$2:$J$496,6,FALSE),""))</f>
        <v>3A</v>
      </c>
      <c r="AW27" s="35"/>
      <c r="AX27" s="3"/>
      <c r="AY27" s="3"/>
      <c r="AZ27" s="3"/>
    </row>
    <row r="28" spans="1:52" ht="19.95" customHeight="1" x14ac:dyDescent="0.3">
      <c r="A28" s="5"/>
      <c r="B28" s="7" t="s">
        <v>628</v>
      </c>
      <c r="C28" s="7" t="s">
        <v>629</v>
      </c>
      <c r="D28" s="40">
        <v>1</v>
      </c>
      <c r="E28" s="41">
        <v>1</v>
      </c>
      <c r="F28" s="26" t="s">
        <v>14</v>
      </c>
      <c r="G28" s="17" t="str" cm="1">
        <f t="array" ref="G28">IF(SUMPRODUCT((LEN($D$26:$D$31)&gt;0)*(LEN($E$26:$E$31)&gt;0))=0,"",IFERROR(INDEX($AN$26:$AN$29,MATCH(LARGE($AP$26:$AP$29,3),$AP$26:$AP$29,0)),""))</f>
        <v>USA</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TURKEY</v>
      </c>
      <c r="V28" s="61"/>
      <c r="W28" s="63"/>
      <c r="X28" s="4"/>
      <c r="Y28" s="4"/>
      <c r="Z28" s="4"/>
      <c r="AA28" s="4"/>
      <c r="AB28" s="4"/>
      <c r="AN28" s="34" t="str">
        <f>B27</f>
        <v>AUSTRALIA</v>
      </c>
      <c r="AO28" s="34" cm="1">
        <f t="array" ref="AO28">3*SUMPRODUCT(($B$26:$B$31=AN28)*($D$26:$D$31&gt;$E$26:$E$31))+3*SUMPRODUCT(($C$26:$C$31=AN28)*($E$26:$E$31&gt;$D$26:$D$31))+SUMPRODUCT((($B$26:$B$31=AN28)+($C$26:$C$31=AN28))*($D$26:$D$31=$E$26:$E$31)*(LEN($D$26:$D$31)&gt;0))</f>
        <v>1</v>
      </c>
      <c r="AP28" s="34">
        <f>AO28*1000000+(AQ28-AR28)*1000+AQ28*10-2</f>
        <v>998018</v>
      </c>
      <c r="AQ28" s="34" cm="1">
        <f t="array" ref="AQ28">SUMPRODUCT(($B$26:$B$31=AN28)*$D$26:$D$31)+SUMPRODUCT(($C$26:$C$31=AN28)*$E$26:$E$31)</f>
        <v>2</v>
      </c>
      <c r="AR28" s="34" cm="1">
        <f t="array" ref="AR28">SUMPRODUCT(($B$26:$B$31=AN28)*$E$26:$E$31)+SUMPRODUCT(($C$26:$C$31=AN28)*$D$26:$D$31)</f>
        <v>4</v>
      </c>
      <c r="AT28" s="34" t="s">
        <v>49</v>
      </c>
      <c r="AU28" s="34" t="str">
        <f>IF($AT$20="","",IFERROR(VLOOKUP($AT$20,Terze!$B$2:$J$496,7,FALSE),""))</f>
        <v>3F</v>
      </c>
      <c r="AW28" s="35"/>
      <c r="AX28" s="3"/>
      <c r="AY28" s="3"/>
      <c r="AZ28" s="3"/>
    </row>
    <row r="29" spans="1:52" ht="19.95" customHeight="1" x14ac:dyDescent="0.3">
      <c r="A29" s="5"/>
      <c r="B29" s="7" t="s">
        <v>630</v>
      </c>
      <c r="C29" s="7" t="s">
        <v>631</v>
      </c>
      <c r="D29" s="40">
        <v>0</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1</v>
      </c>
      <c r="J29" s="11" t="s">
        <v>12</v>
      </c>
      <c r="K29" s="12" t="str">
        <f>_xlfn.XLOOKUP(J29,$F$5:$F$85,$G$5:$G$85, "")</f>
        <v>TURKEY</v>
      </c>
      <c r="L29" s="60">
        <v>1</v>
      </c>
      <c r="M29" s="62"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5</v>
      </c>
      <c r="AP29" s="34">
        <f>AO29*1000000+(AQ29-AR29)*1000+AQ29*10-3</f>
        <v>5001037</v>
      </c>
      <c r="AQ29" s="34" cm="1">
        <f t="array" ref="AQ29">SUMPRODUCT(($B$26:$B$31=AN29)*$D$26:$D$31)+SUMPRODUCT(($C$26:$C$31=AN29)*$E$26:$E$31)</f>
        <v>4</v>
      </c>
      <c r="AR29" s="34" cm="1">
        <f t="array" ref="AR29">SUMPRODUCT(($B$26:$B$31=AN29)*$E$26:$E$31)+SUMPRODUCT(($C$26:$C$31=AN29)*$D$26:$D$31)</f>
        <v>3</v>
      </c>
      <c r="AT29" s="34" t="s">
        <v>57</v>
      </c>
      <c r="AU29" s="34" t="str">
        <f>IF($AT$20="","",IFERROR(VLOOKUP($AT$20,Terze!$B$2:$J$496,8,FALSE),""))</f>
        <v>3L</v>
      </c>
      <c r="AW29" s="35"/>
      <c r="AX29" s="3"/>
      <c r="AY29" s="3"/>
      <c r="AZ29" s="3"/>
    </row>
    <row r="30" spans="1:52" ht="19.95" customHeight="1" x14ac:dyDescent="0.3">
      <c r="A30" s="5"/>
      <c r="B30" s="7" t="s">
        <v>630</v>
      </c>
      <c r="C30" s="7" t="s">
        <v>628</v>
      </c>
      <c r="D30" s="40">
        <v>2</v>
      </c>
      <c r="E30" s="41">
        <v>2</v>
      </c>
      <c r="H30" s="28"/>
      <c r="J30" s="14" t="str">
        <f>AU25</f>
        <v>3B</v>
      </c>
      <c r="K30" s="15" t="str">
        <f>_xlfn.XLOOKUP(J30,$F$5:$F$85,$G$5:$G$85, "")</f>
        <v>BOSNIA H.</v>
      </c>
      <c r="L30" s="61"/>
      <c r="M30" s="63"/>
      <c r="N30" s="4"/>
      <c r="O30" s="4"/>
      <c r="P30" s="4"/>
      <c r="Q30" s="4"/>
      <c r="R30" s="4"/>
      <c r="S30" s="4"/>
      <c r="T30" s="4"/>
      <c r="U30" s="4"/>
      <c r="V30" s="4"/>
      <c r="W30" s="4"/>
      <c r="X30" s="4"/>
      <c r="Y30" s="4"/>
      <c r="Z30" s="4"/>
      <c r="AA30" s="4"/>
      <c r="AB30" s="4"/>
      <c r="AT30" s="34" t="s">
        <v>61</v>
      </c>
      <c r="AU30" s="34" t="str">
        <f>IF($AT$20="","",IFERROR(VLOOKUP($AT$20,Terze!$B$2:$J$496,9,FALSE),""))</f>
        <v>3E</v>
      </c>
      <c r="AW30" s="35"/>
      <c r="AX30" s="3"/>
      <c r="AY30" s="3"/>
      <c r="AZ30" s="3"/>
    </row>
    <row r="31" spans="1:52" ht="19.95" customHeight="1" x14ac:dyDescent="0.3">
      <c r="A31" s="5"/>
      <c r="B31" s="7" t="s">
        <v>631</v>
      </c>
      <c r="C31" s="7" t="s">
        <v>629</v>
      </c>
      <c r="D31" s="40">
        <v>1</v>
      </c>
      <c r="E31" s="41">
        <v>0</v>
      </c>
      <c r="F31" s="23"/>
      <c r="G31" s="23"/>
      <c r="H31" s="24"/>
      <c r="J31" s="4"/>
      <c r="K31" s="4"/>
      <c r="L31" s="4"/>
      <c r="M31" s="4"/>
      <c r="N31" s="4"/>
      <c r="O31" s="11" t="s">
        <v>71</v>
      </c>
      <c r="P31" s="12" t="str">
        <f>IF(L29="","",IF(L29=1, K29, K30))</f>
        <v>TURKEY</v>
      </c>
      <c r="Q31" s="60">
        <v>1</v>
      </c>
      <c r="R31" s="62" t="s">
        <v>27</v>
      </c>
      <c r="S31" s="4"/>
      <c r="T31" s="4"/>
      <c r="U31" s="4"/>
      <c r="V31" s="4"/>
      <c r="W31" s="4"/>
      <c r="X31" s="4"/>
      <c r="Y31" s="4"/>
      <c r="Z31" s="4"/>
      <c r="AA31" s="4"/>
      <c r="AB31" s="4"/>
      <c r="AW31" s="35"/>
      <c r="AX31" s="3"/>
      <c r="AY31" s="3"/>
      <c r="AZ31" s="3"/>
    </row>
    <row r="32" spans="1:52" ht="19.95" customHeight="1" x14ac:dyDescent="0.3">
      <c r="B32" s="67" t="s">
        <v>602</v>
      </c>
      <c r="C32" s="68"/>
      <c r="D32" s="68"/>
      <c r="E32" s="68"/>
      <c r="F32" s="68"/>
      <c r="G32" s="68"/>
      <c r="H32" s="69"/>
      <c r="J32" s="4"/>
      <c r="K32" s="4"/>
      <c r="L32" s="4"/>
      <c r="M32" s="4"/>
      <c r="N32" s="4"/>
      <c r="O32" s="14" t="s">
        <v>72</v>
      </c>
      <c r="P32" s="15" t="str">
        <f>IF(L33="","",IF(L33=1, K33, K34))</f>
        <v>SOUTH KOREA</v>
      </c>
      <c r="Q32" s="61"/>
      <c r="R32" s="63"/>
      <c r="S32" s="4"/>
      <c r="T32" s="4"/>
      <c r="U32" s="4"/>
      <c r="V32" s="4"/>
      <c r="W32" s="4"/>
      <c r="X32" s="4"/>
      <c r="Y32" s="4"/>
      <c r="Z32" s="4"/>
      <c r="AA32" s="4"/>
      <c r="AB32" s="4"/>
      <c r="AW32" s="35"/>
      <c r="AX32" s="3"/>
      <c r="AY32" s="3"/>
      <c r="AZ32" s="3"/>
    </row>
    <row r="33" spans="1:52" ht="19.95" customHeight="1" x14ac:dyDescent="0.3">
      <c r="A33" s="5"/>
      <c r="B33" s="7" t="s">
        <v>624</v>
      </c>
      <c r="C33" s="7" t="s">
        <v>625</v>
      </c>
      <c r="D33" s="38">
        <v>5</v>
      </c>
      <c r="E33" s="39">
        <v>1</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60">
        <v>2</v>
      </c>
      <c r="M33" s="62"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9006080</v>
      </c>
      <c r="AQ33" s="34" cm="1">
        <f t="array" ref="AQ33">SUMPRODUCT(($B$33:$B$38=AN33)*$D$33:$D$38)+SUMPRODUCT(($C$33:$C$38=AN33)*$E$33:$E$38)</f>
        <v>8</v>
      </c>
      <c r="AR33" s="34" cm="1">
        <f t="array" ref="AR33">SUMPRODUCT(($B$33:$B$38=AN33)*$E$33:$E$38)+SUMPRODUCT(($C$33:$C$38=AN33)*$D$33:$D$38)</f>
        <v>2</v>
      </c>
      <c r="AW33" s="35"/>
      <c r="AX33" s="3"/>
      <c r="AY33" s="3"/>
      <c r="AZ33" s="3"/>
    </row>
    <row r="34" spans="1:52" ht="19.95" customHeight="1" x14ac:dyDescent="0.3">
      <c r="A34" s="5"/>
      <c r="B34" s="7" t="s">
        <v>626</v>
      </c>
      <c r="C34" s="7" t="s">
        <v>627</v>
      </c>
      <c r="D34" s="40">
        <v>0</v>
      </c>
      <c r="E34" s="41">
        <v>0</v>
      </c>
      <c r="F34" s="25" t="s">
        <v>17</v>
      </c>
      <c r="G34" s="10" t="str" cm="1">
        <f t="array" ref="G34">IF(SUMPRODUCT((LEN($D$33:$D$38)&gt;0)*(LEN($E$33:$E$38)&gt;0))=0,"",IFERROR(INDEX($AN$33:$AN$36,MATCH(LARGE($AP$33:$AP$36,2),$AP$33:$AP$36,0)),""))</f>
        <v>ECUADOR</v>
      </c>
      <c r="H34" s="10" cm="1">
        <f t="array" ref="H34">IF(SUMPRODUCT((LEN($D$33:$D$38)&gt;0)*(LEN($E$33:$E$38)&gt;0))=0,"",IFERROR(INDEX($AO$33:$AO$36,MATCH(LARGE($AP$33:$AP$36,2),$AP$33:$AP$36,0)),""))</f>
        <v>4</v>
      </c>
      <c r="J34" s="14" t="str">
        <f>AU27</f>
        <v>3A</v>
      </c>
      <c r="K34" s="15" t="str">
        <f>_xlfn.XLOOKUP(J34,$F$5:$F$85,$G$5:$G$85, "")</f>
        <v>SOUTH KOREA</v>
      </c>
      <c r="L34" s="61"/>
      <c r="M34" s="63"/>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-7991</v>
      </c>
      <c r="AQ34" s="34" cm="1">
        <f t="array" ref="AQ34">SUMPRODUCT(($B$33:$B$38=AN34)*$D$33:$D$38)+SUMPRODUCT(($C$33:$C$38=AN34)*$E$33:$E$38)</f>
        <v>1</v>
      </c>
      <c r="AR34" s="34" cm="1">
        <f t="array" ref="AR34">SUMPRODUCT(($B$33:$B$38=AN34)*$E$33:$E$38)+SUMPRODUCT(($C$33:$C$38=AN34)*$D$33:$D$38)</f>
        <v>9</v>
      </c>
      <c r="AW34" s="35"/>
      <c r="AX34" s="3"/>
      <c r="AY34" s="3"/>
      <c r="AZ34" s="3"/>
    </row>
    <row r="35" spans="1:52" ht="19.95" customHeight="1" x14ac:dyDescent="0.3">
      <c r="A35" s="5"/>
      <c r="B35" s="7" t="s">
        <v>624</v>
      </c>
      <c r="C35" s="7" t="s">
        <v>626</v>
      </c>
      <c r="D35" s="40">
        <v>1</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60">
        <v>1</v>
      </c>
      <c r="AG35" s="62" t="s">
        <v>38</v>
      </c>
      <c r="AI35" s="29" t="s">
        <v>39</v>
      </c>
      <c r="AJ35" s="66" t="str">
        <f>IF(AF35="","",IF(AF35=1, AE35, AE36))</f>
        <v>SPAIN</v>
      </c>
      <c r="AK35" s="66"/>
      <c r="AL35" s="66"/>
      <c r="AN35" s="34" t="str">
        <f>B34</f>
        <v>IVORY COAST</v>
      </c>
      <c r="AO35" s="34" cm="1">
        <f t="array" ref="AO35">3*SUMPRODUCT(($B$33:$B$38=AN35)*($D$33:$D$38&gt;$E$33:$E$38))+3*SUMPRODUCT(($C$33:$C$38=AN35)*($E$33:$E$38&gt;$D$33:$D$38))+SUMPRODUCT((($B$33:$B$38=AN35)+($C$33:$C$38=AN35))*($D$33:$D$38=$E$33:$E$38)*(LEN($D$33:$D$38)&gt;0))</f>
        <v>4</v>
      </c>
      <c r="AP35" s="34">
        <f>AO35*1000000+(AQ35-AR35)*1000+AQ35*10-2</f>
        <v>4001018</v>
      </c>
      <c r="AQ35" s="34" cm="1">
        <f t="array" ref="AQ35">SUMPRODUCT(($B$33:$B$38=AN35)*$D$33:$D$38)+SUMPRODUCT(($C$33:$C$38=AN35)*$E$33:$E$38)</f>
        <v>2</v>
      </c>
      <c r="AR35" s="34" cm="1">
        <f t="array" ref="AR35">SUMPRODUCT(($B$33:$B$38=AN35)*$E$33:$E$38)+SUMPRODUCT(($C$33:$C$38=AN35)*$D$33:$D$38)</f>
        <v>1</v>
      </c>
      <c r="AW35" s="35"/>
      <c r="AX35" s="3"/>
      <c r="AY35" s="3"/>
      <c r="AZ35" s="3"/>
    </row>
    <row r="36" spans="1:52" ht="19.95" customHeight="1" x14ac:dyDescent="0.3">
      <c r="A36" s="5"/>
      <c r="B36" s="7" t="s">
        <v>627</v>
      </c>
      <c r="C36" s="7" t="s">
        <v>625</v>
      </c>
      <c r="D36" s="40">
        <v>2</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PORTUGAL</v>
      </c>
      <c r="AF36" s="61"/>
      <c r="AG36" s="63"/>
      <c r="AI36" s="29" t="s">
        <v>40</v>
      </c>
      <c r="AJ36" s="66" t="str">
        <f>IF(AF35="","",IF(AF35=2, AE35, AE36))</f>
        <v>PORTUGAL</v>
      </c>
      <c r="AK36" s="66"/>
      <c r="AL36" s="66"/>
      <c r="AN36" s="34" t="str">
        <f>C34</f>
        <v>ECUADOR</v>
      </c>
      <c r="AO36" s="34" cm="1">
        <f t="array" ref="AO36">3*SUMPRODUCT(($B$33:$B$38=AN36)*($D$33:$D$38&gt;$E$33:$E$38))+3*SUMPRODUCT(($C$33:$C$38=AN36)*($E$33:$E$38&gt;$D$33:$D$38))+SUMPRODUCT((($B$33:$B$38=AN36)+($C$33:$C$38=AN36))*($D$33:$D$38=$E$33:$E$38)*(LEN($D$33:$D$38)&gt;0))</f>
        <v>4</v>
      </c>
      <c r="AP36" s="34">
        <f>AO36*1000000+(AQ36-AR36)*1000+AQ36*10-3</f>
        <v>4001027</v>
      </c>
      <c r="AQ36" s="34" cm="1">
        <f t="array" ref="AQ36">SUMPRODUCT(($B$33:$B$38=AN36)*$D$33:$D$38)+SUMPRODUCT(($C$33:$C$38=AN36)*$E$33:$E$38)</f>
        <v>3</v>
      </c>
      <c r="AR36" s="34" cm="1">
        <f t="array" ref="AR36">SUMPRODUCT(($B$33:$B$38=AN36)*$E$33:$E$38)+SUMPRODUCT(($C$33:$C$38=AN36)*$D$33:$D$38)</f>
        <v>2</v>
      </c>
      <c r="AW36" s="35"/>
      <c r="AX36" s="3"/>
      <c r="AY36" s="3"/>
      <c r="AZ36" s="3"/>
    </row>
    <row r="37" spans="1:52" ht="19.95" customHeight="1" x14ac:dyDescent="0.3">
      <c r="A37" s="5"/>
      <c r="B37" s="7" t="s">
        <v>625</v>
      </c>
      <c r="C37" s="7" t="s">
        <v>626</v>
      </c>
      <c r="D37" s="40">
        <v>0</v>
      </c>
      <c r="E37" s="41">
        <v>2</v>
      </c>
      <c r="H37" s="28"/>
      <c r="J37" s="11" t="s">
        <v>8</v>
      </c>
      <c r="K37" s="12" t="str">
        <f>_xlfn.XLOOKUP(J37,$F$5:$F$85,$G$5:$G$85, "")</f>
        <v>BRAZIL</v>
      </c>
      <c r="L37" s="60">
        <v>1</v>
      </c>
      <c r="M37" s="62" t="s">
        <v>73</v>
      </c>
      <c r="N37" s="4"/>
      <c r="O37" s="4"/>
      <c r="P37" s="4"/>
      <c r="Q37" s="4"/>
      <c r="R37" s="4"/>
      <c r="S37" s="4"/>
      <c r="T37" s="4"/>
      <c r="U37" s="4"/>
      <c r="V37" s="4"/>
      <c r="W37" s="4"/>
      <c r="X37" s="4"/>
      <c r="Y37" s="4"/>
      <c r="Z37" s="4"/>
      <c r="AA37" s="4"/>
      <c r="AB37" s="4"/>
      <c r="AI37" s="29" t="s">
        <v>84</v>
      </c>
      <c r="AJ37" s="66" t="str">
        <f>IF(AF43="","",IF(AF43=1, AE43, AE44))</f>
        <v>FRANCE</v>
      </c>
      <c r="AK37" s="66"/>
      <c r="AL37" s="66"/>
      <c r="AW37" s="35"/>
      <c r="AX37" s="3"/>
      <c r="AY37" s="3"/>
      <c r="AZ37" s="3"/>
    </row>
    <row r="38" spans="1:52" ht="19.95" customHeight="1" x14ac:dyDescent="0.3">
      <c r="A38" s="5"/>
      <c r="B38" s="7" t="s">
        <v>627</v>
      </c>
      <c r="C38" s="7" t="s">
        <v>624</v>
      </c>
      <c r="D38" s="40">
        <v>1</v>
      </c>
      <c r="E38" s="41">
        <v>2</v>
      </c>
      <c r="F38" s="23"/>
      <c r="G38" s="23"/>
      <c r="H38" s="24"/>
      <c r="J38" s="14" t="s">
        <v>21</v>
      </c>
      <c r="K38" s="15" t="str">
        <f>_xlfn.XLOOKUP(J38,$F$5:$F$85,$G$5:$G$85, "")</f>
        <v>NETHERLANDS</v>
      </c>
      <c r="L38" s="61"/>
      <c r="M38" s="63"/>
      <c r="N38" s="4"/>
      <c r="O38" s="4"/>
      <c r="P38" s="4"/>
      <c r="Q38" s="4"/>
      <c r="R38" s="4"/>
      <c r="S38" s="4"/>
      <c r="T38" s="4"/>
      <c r="U38" s="4"/>
      <c r="V38" s="4"/>
      <c r="W38" s="4"/>
      <c r="X38" s="4"/>
      <c r="Y38" s="4"/>
      <c r="Z38" s="4"/>
      <c r="AA38" s="4"/>
      <c r="AB38" s="4"/>
      <c r="AI38" s="29" t="s">
        <v>660</v>
      </c>
      <c r="AJ38" s="66" t="str">
        <f>IF(AF43="","",IF(AF43=2, AE43, AE44))</f>
        <v>BRAZIL</v>
      </c>
      <c r="AK38" s="66"/>
      <c r="AL38" s="66"/>
      <c r="AW38" s="35"/>
      <c r="AX38" s="3"/>
      <c r="AY38" s="3"/>
      <c r="AZ38" s="3"/>
    </row>
    <row r="39" spans="1:52" ht="19.95" customHeight="1" x14ac:dyDescent="0.3">
      <c r="B39" s="67" t="s">
        <v>603</v>
      </c>
      <c r="C39" s="68"/>
      <c r="D39" s="68"/>
      <c r="E39" s="68"/>
      <c r="F39" s="68"/>
      <c r="G39" s="68"/>
      <c r="H39" s="69"/>
      <c r="J39" s="4"/>
      <c r="K39" s="4"/>
      <c r="L39" s="4"/>
      <c r="M39" s="4"/>
      <c r="N39" s="4"/>
      <c r="O39" s="11" t="s">
        <v>73</v>
      </c>
      <c r="P39" s="12" t="str">
        <f>IF(L37="","",IF(L37=1, K37, K38))</f>
        <v>BRAZIL</v>
      </c>
      <c r="Q39" s="60">
        <v>1</v>
      </c>
      <c r="R39" s="62"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1</v>
      </c>
      <c r="E40" s="39">
        <v>3</v>
      </c>
      <c r="F40" s="25" t="s">
        <v>20</v>
      </c>
      <c r="G40" s="10" t="str" cm="1">
        <f t="array" ref="G40">IF(SUMPRODUCT((LEN($D$40:$D$45)&gt;0)*(LEN($E$40:$E$45)&gt;0))=0,"",IFERROR(INDEX($AN$40:$AN$43,MATCH(LARGE($AP$40:$AP$43,1),$AP$40:$AP$43,0)),""))</f>
        <v>JAPAN</v>
      </c>
      <c r="H40" s="10" cm="1">
        <f t="array" ref="H40">IF(SUMPRODUCT((LEN($D$40:$D$45)&gt;0)*(LEN($E$40:$E$45)&gt;0))=0,"",IFERROR(INDEX($AO$40:$AO$43,MATCH(LARGE($AP$40:$AP$43,1),$AP$40:$AP$43,0)),""))</f>
        <v>7</v>
      </c>
      <c r="J40" s="4"/>
      <c r="K40" s="4"/>
      <c r="L40" s="4"/>
      <c r="M40" s="4"/>
      <c r="N40" s="4"/>
      <c r="O40" s="14" t="s">
        <v>74</v>
      </c>
      <c r="P40" s="15" t="str">
        <f>IF(L41="","",IF(L41=1, K41, K42))</f>
        <v>NORWAY</v>
      </c>
      <c r="Q40" s="61"/>
      <c r="R40" s="63"/>
      <c r="S40" s="4"/>
      <c r="T40" s="4"/>
      <c r="U40" s="4"/>
      <c r="V40" s="4"/>
      <c r="W40" s="4"/>
      <c r="X40" s="4"/>
      <c r="Y40" s="4"/>
      <c r="Z40" s="4"/>
      <c r="AA40" s="4"/>
      <c r="AB40" s="4"/>
      <c r="AD40" s="64" t="s">
        <v>611</v>
      </c>
      <c r="AE40" s="64"/>
      <c r="AF40" s="64"/>
      <c r="AG40" s="64"/>
      <c r="AN40" s="34" t="str">
        <f>B40</f>
        <v>NETHERLANDS</v>
      </c>
      <c r="AO40" s="34" cm="1">
        <f t="array" ref="AO40">3*SUMPRODUCT(($B$40:$B$45=AN40)*($D$40:$D$45&gt;$E$40:$E$45))+3*SUMPRODUCT(($C$40:$C$45=AN40)*($E$40:$E$45&gt;$D$40:$D$45))+SUMPRODUCT((($B$40:$B$45=AN40)+($C$40:$C$45=AN40))*($D$40:$D$45=$E$40:$E$45)*(LEN($D$40:$D$45)&gt;0))</f>
        <v>6</v>
      </c>
      <c r="AP40" s="34">
        <f>AO40*1000000+(AQ40-AR40)*1000+AQ40*10-0</f>
        <v>6002060</v>
      </c>
      <c r="AQ40" s="34" cm="1">
        <f t="array" ref="AQ40">SUMPRODUCT(($B$40:$B$45=AN40)*$D$40:$D$45)+SUMPRODUCT(($C$40:$C$45=AN40)*$E$40:$E$45)</f>
        <v>6</v>
      </c>
      <c r="AR40" s="34" cm="1">
        <f t="array" ref="AR40">SUMPRODUCT(($B$40:$B$45=AN40)*$E$40:$E$45)+SUMPRODUCT(($C$40:$C$45=AN40)*$D$40:$D$45)</f>
        <v>4</v>
      </c>
      <c r="AW40" s="35"/>
      <c r="AX40" s="3"/>
      <c r="AY40" s="3"/>
      <c r="AZ40" s="3"/>
    </row>
    <row r="41" spans="1:52" ht="19.95" customHeight="1" x14ac:dyDescent="0.3">
      <c r="A41" s="5"/>
      <c r="B41" s="7" t="s">
        <v>633</v>
      </c>
      <c r="C41" s="7" t="s">
        <v>634</v>
      </c>
      <c r="D41" s="40">
        <v>2</v>
      </c>
      <c r="E41" s="41">
        <v>1</v>
      </c>
      <c r="F41" s="25" t="s">
        <v>21</v>
      </c>
      <c r="G41" s="10" t="str" cm="1">
        <f t="array" ref="G41">IF(SUMPRODUCT((LEN($D$40:$D$45)&gt;0)*(LEN($E$40:$E$45)&gt;0))=0,"",IFERROR(INDEX($AN$40:$AN$43,MATCH(LARGE($AP$40:$AP$43,2),$AP$40:$AP$43,0)),""))</f>
        <v>NETHERLANDS</v>
      </c>
      <c r="H41" s="10" cm="1">
        <f t="array" ref="H41">IF(SUMPRODUCT((LEN($D$40:$D$45)&gt;0)*(LEN($E$40:$E$45)&gt;0))=0,"",IFERROR(INDEX($AO$40:$AO$43,MATCH(LARGE($AP$40:$AP$43,2),$AP$40:$AP$43,0)),""))</f>
        <v>6</v>
      </c>
      <c r="J41" s="11" t="s">
        <v>17</v>
      </c>
      <c r="K41" s="12" t="str">
        <f>_xlfn.XLOOKUP(J41,$F$5:$F$85,$G$5:$G$85, "")</f>
        <v>ECUADOR</v>
      </c>
      <c r="L41" s="60">
        <v>2</v>
      </c>
      <c r="M41" s="62" t="s">
        <v>74</v>
      </c>
      <c r="N41" s="4"/>
      <c r="O41" s="4"/>
      <c r="P41" s="4"/>
      <c r="Q41" s="4"/>
      <c r="R41" s="4"/>
      <c r="S41" s="4"/>
      <c r="T41" s="4"/>
      <c r="U41" s="4"/>
      <c r="V41" s="4"/>
      <c r="W41" s="4"/>
      <c r="X41" s="4"/>
      <c r="Y41" s="4"/>
      <c r="Z41" s="4"/>
      <c r="AA41" s="4"/>
      <c r="AB41" s="4"/>
      <c r="AD41" s="64"/>
      <c r="AE41" s="64"/>
      <c r="AF41" s="64"/>
      <c r="AG41" s="64"/>
      <c r="AN41" s="34" t="str">
        <f>C40</f>
        <v>JAPAN</v>
      </c>
      <c r="AO41" s="34" cm="1">
        <f t="array" ref="AO41">3*SUMPRODUCT(($B$40:$B$45=AN41)*($D$40:$D$45&gt;$E$40:$E$45))+3*SUMPRODUCT(($C$40:$C$45=AN41)*($E$40:$E$45&gt;$D$40:$D$45))+SUMPRODUCT((($B$40:$B$45=AN41)+($C$40:$C$45=AN41))*($D$40:$D$45=$E$40:$E$45)*(LEN($D$40:$D$45)&gt;0))</f>
        <v>7</v>
      </c>
      <c r="AP41" s="34">
        <f>AO41*1000000+(AQ41-AR41)*1000+AQ41*10-1</f>
        <v>7003049</v>
      </c>
      <c r="AQ41" s="34" cm="1">
        <f t="array" ref="AQ41">SUMPRODUCT(($B$40:$B$45=AN41)*$D$40:$D$45)+SUMPRODUCT(($C$40:$C$45=AN41)*$E$40:$E$45)</f>
        <v>5</v>
      </c>
      <c r="AR41" s="34" cm="1">
        <f t="array" ref="AR41">SUMPRODUCT(($B$40:$B$45=AN41)*$E$40:$E$45)+SUMPRODUCT(($C$40:$C$45=AN41)*$D$40:$D$45)</f>
        <v>2</v>
      </c>
      <c r="AW41" s="35"/>
      <c r="AX41" s="3"/>
      <c r="AY41" s="3"/>
      <c r="AZ41" s="3"/>
    </row>
    <row r="42" spans="1:52" ht="19.95" customHeight="1" x14ac:dyDescent="0.3">
      <c r="A42" s="5"/>
      <c r="B42" s="7" t="s">
        <v>632</v>
      </c>
      <c r="C42" s="7" t="s">
        <v>633</v>
      </c>
      <c r="D42" s="40">
        <v>2</v>
      </c>
      <c r="E42" s="41">
        <v>1</v>
      </c>
      <c r="F42" s="26" t="s">
        <v>22</v>
      </c>
      <c r="G42" s="17" t="str" cm="1">
        <f t="array" ref="G42">IF(SUMPRODUCT((LEN($D$40:$D$45)&gt;0)*(LEN($E$40:$E$45)&gt;0))=0,"",IFERROR(INDEX($AN$40:$AN$43,MATCH(LARGE($AP$40:$AP$43,3),$AP$40:$AP$43,0)),""))</f>
        <v>SWEDEN</v>
      </c>
      <c r="H42" s="17" cm="1">
        <f t="array" ref="H42">IF(SUMPRODUCT((LEN($D$40:$D$45)&gt;0)*(LEN($E$40:$E$45)&gt;0))=0,"",IFERROR(INDEX($AO$40:$AO$43,MATCH(LARGE($AP$40:$AP$43,3),$AP$40:$AP$43,0)),""))</f>
        <v>4</v>
      </c>
      <c r="J42" s="14" t="s">
        <v>50</v>
      </c>
      <c r="K42" s="15" t="str">
        <f>_xlfn.XLOOKUP(J42,$F$5:$F$85,$G$5:$G$85, "")</f>
        <v>NORWAY</v>
      </c>
      <c r="L42" s="61"/>
      <c r="M42" s="63"/>
      <c r="N42" s="4"/>
      <c r="O42" s="4"/>
      <c r="P42" s="4"/>
      <c r="Q42" s="4"/>
      <c r="R42" s="4"/>
      <c r="S42" s="4"/>
      <c r="T42" s="4"/>
      <c r="U42" s="4"/>
      <c r="V42" s="4"/>
      <c r="W42" s="4"/>
      <c r="X42" s="4"/>
      <c r="Y42" s="4"/>
      <c r="Z42" s="4"/>
      <c r="AA42" s="4"/>
      <c r="AB42" s="4"/>
      <c r="AI42" s="64" t="s">
        <v>597</v>
      </c>
      <c r="AJ42" s="64"/>
      <c r="AK42" s="64"/>
      <c r="AL42" s="64"/>
      <c r="AN42" s="34" t="str">
        <f>B41</f>
        <v>SWEDEN</v>
      </c>
      <c r="AO42" s="34" cm="1">
        <f t="array" ref="AO42">3*SUMPRODUCT(($B$40:$B$45=AN42)*($D$40:$D$45&gt;$E$40:$E$45))+3*SUMPRODUCT(($C$40:$C$45=AN42)*($E$40:$E$45&gt;$D$40:$D$45))+SUMPRODUCT((($B$40:$B$45=AN42)+($C$40:$C$45=AN42))*($D$40:$D$45=$E$40:$E$45)*(LEN($D$40:$D$45)&gt;0))</f>
        <v>4</v>
      </c>
      <c r="AP42" s="34">
        <f>AO42*1000000+(AQ42-AR42)*1000+AQ42*10-2</f>
        <v>4000038</v>
      </c>
      <c r="AQ42" s="34" cm="1">
        <f t="array" ref="AQ42">SUMPRODUCT(($B$40:$B$45=AN42)*$D$40:$D$45)+SUMPRODUCT(($C$40:$C$45=AN42)*$E$40:$E$45)</f>
        <v>4</v>
      </c>
      <c r="AR42" s="34" cm="1">
        <f t="array" ref="AR42">SUMPRODUCT(($B$40:$B$45=AN42)*$E$40:$E$45)+SUMPRODUCT(($C$40:$C$45=AN42)*$D$40:$D$45)</f>
        <v>4</v>
      </c>
      <c r="AW42" s="35"/>
      <c r="AX42" s="3"/>
      <c r="AY42" s="3"/>
      <c r="AZ42" s="3"/>
    </row>
    <row r="43" spans="1:52" ht="19.95" customHeight="1" x14ac:dyDescent="0.3">
      <c r="A43" s="5"/>
      <c r="B43" s="7" t="s">
        <v>634</v>
      </c>
      <c r="C43" s="7" t="s">
        <v>635</v>
      </c>
      <c r="D43" s="40">
        <v>0</v>
      </c>
      <c r="E43" s="41">
        <v>1</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60">
        <v>1</v>
      </c>
      <c r="W43" s="62" t="s">
        <v>34</v>
      </c>
      <c r="X43" s="4"/>
      <c r="Y43" s="4"/>
      <c r="Z43" s="4"/>
      <c r="AA43" s="4"/>
      <c r="AB43" s="4"/>
      <c r="AD43" s="11" t="s">
        <v>81</v>
      </c>
      <c r="AE43" s="12" t="str">
        <f>IF(AA19="","",IF(AA19=1, Z20, Z19))</f>
        <v>FRANCE</v>
      </c>
      <c r="AF43" s="60">
        <v>1</v>
      </c>
      <c r="AG43" s="62" t="s">
        <v>83</v>
      </c>
      <c r="AI43" s="64"/>
      <c r="AJ43" s="64"/>
      <c r="AK43" s="64"/>
      <c r="AL43" s="64"/>
      <c r="AN43" s="34" t="str">
        <f>C41</f>
        <v>TUNISIA</v>
      </c>
      <c r="AO43" s="34" cm="1">
        <f t="array" ref="AO43">3*SUMPRODUCT(($B$40:$B$45=AN43)*($D$40:$D$45&gt;$E$40:$E$45))+3*SUMPRODUCT(($C$40:$C$45=AN43)*($E$40:$E$45&gt;$D$40:$D$45))+SUMPRODUCT((($B$40:$B$45=AN43)+($C$40:$C$45=AN43))*($D$40:$D$45=$E$40:$E$45)*(LEN($D$40:$D$45)&gt;0))</f>
        <v>0</v>
      </c>
      <c r="AP43" s="34">
        <f>AO43*1000000+(AQ43-AR43)*1000+AQ43*10-3</f>
        <v>-4993</v>
      </c>
      <c r="AQ43" s="34" cm="1">
        <f t="array" ref="AQ43">SUMPRODUCT(($B$40:$B$45=AN43)*$D$40:$D$45)+SUMPRODUCT(($C$40:$C$45=AN43)*$E$40:$E$45)</f>
        <v>1</v>
      </c>
      <c r="AR43" s="34" cm="1">
        <f t="array" ref="AR43">SUMPRODUCT(($B$40:$B$45=AN43)*$E$40:$E$45)+SUMPRODUCT(($C$40:$C$45=AN43)*$D$40:$D$45)</f>
        <v>6</v>
      </c>
      <c r="AW43" s="35"/>
      <c r="AX43" s="3"/>
      <c r="AY43" s="3"/>
      <c r="AZ43" s="3"/>
    </row>
    <row r="44" spans="1:52" ht="19.95" customHeight="1" x14ac:dyDescent="0.3">
      <c r="A44" s="5"/>
      <c r="B44" s="7" t="s">
        <v>635</v>
      </c>
      <c r="C44" s="7" t="s">
        <v>633</v>
      </c>
      <c r="D44" s="40">
        <v>1</v>
      </c>
      <c r="E44" s="41">
        <v>1</v>
      </c>
      <c r="H44" s="28"/>
      <c r="J44" s="4"/>
      <c r="K44" s="4"/>
      <c r="L44" s="4"/>
      <c r="M44" s="4"/>
      <c r="N44" s="4"/>
      <c r="O44" s="4"/>
      <c r="P44" s="4"/>
      <c r="Q44" s="4"/>
      <c r="R44" s="4"/>
      <c r="S44" s="4"/>
      <c r="T44" s="14" t="s">
        <v>29</v>
      </c>
      <c r="U44" s="15" t="str">
        <f>IF(Q47="","",IF(Q47=1, P47, P48))</f>
        <v>MEXICO</v>
      </c>
      <c r="V44" s="61"/>
      <c r="W44" s="63"/>
      <c r="X44" s="4"/>
      <c r="Y44" s="4"/>
      <c r="Z44" s="4"/>
      <c r="AA44" s="4"/>
      <c r="AB44" s="4"/>
      <c r="AD44" s="14" t="s">
        <v>82</v>
      </c>
      <c r="AE44" s="15" t="str">
        <f>IF(AA51="","",IF(AA51=1, Z52, Z51))</f>
        <v>BRAZIL</v>
      </c>
      <c r="AF44" s="61"/>
      <c r="AG44" s="63"/>
      <c r="AI44" s="65" t="s">
        <v>669</v>
      </c>
      <c r="AJ44" s="65"/>
      <c r="AK44" s="65">
        <v>5</v>
      </c>
      <c r="AL44" s="65"/>
      <c r="AW44" s="35"/>
      <c r="AX44" s="3"/>
      <c r="AY44" s="3"/>
      <c r="AZ44" s="3"/>
    </row>
    <row r="45" spans="1:52" ht="19.95" customHeight="1" x14ac:dyDescent="0.3">
      <c r="A45" s="5"/>
      <c r="B45" s="7" t="s">
        <v>634</v>
      </c>
      <c r="C45" s="7" t="s">
        <v>632</v>
      </c>
      <c r="D45" s="40">
        <v>0</v>
      </c>
      <c r="E45" s="41">
        <v>3</v>
      </c>
      <c r="F45" s="23"/>
      <c r="G45" s="23"/>
      <c r="H45" s="24"/>
      <c r="J45" s="11" t="s">
        <v>0</v>
      </c>
      <c r="K45" s="12" t="str">
        <f>_xlfn.XLOOKUP(J45,$F$5:$F$85,$G$5:$G$85, "")</f>
        <v>MEXICO</v>
      </c>
      <c r="L45" s="60">
        <v>1</v>
      </c>
      <c r="M45" s="62" t="s">
        <v>75</v>
      </c>
      <c r="N45" s="4"/>
      <c r="O45" s="4"/>
      <c r="P45" s="4"/>
      <c r="Q45" s="4"/>
      <c r="R45" s="4"/>
      <c r="S45" s="4"/>
      <c r="T45" s="4"/>
      <c r="U45" s="4"/>
      <c r="V45" s="4"/>
      <c r="W45" s="4"/>
      <c r="X45" s="4"/>
      <c r="Y45" s="4"/>
      <c r="Z45" s="4"/>
      <c r="AA45" s="4"/>
      <c r="AB45" s="4"/>
      <c r="AW45" s="35"/>
      <c r="AX45" s="3"/>
      <c r="AY45" s="3"/>
      <c r="AZ45" s="3"/>
    </row>
    <row r="46" spans="1:52" ht="19.95" customHeight="1" x14ac:dyDescent="0.3">
      <c r="B46" s="67" t="s">
        <v>604</v>
      </c>
      <c r="C46" s="68"/>
      <c r="D46" s="68"/>
      <c r="E46" s="68"/>
      <c r="F46" s="68"/>
      <c r="G46" s="68"/>
      <c r="H46" s="69"/>
      <c r="J46" s="14" t="str">
        <f>AU23</f>
        <v>3H</v>
      </c>
      <c r="K46" s="15" t="str">
        <f>_xlfn.XLOOKUP(J46,$F$5:$F$85,$G$5:$G$85, "")</f>
        <v>SAUDI ARABIA</v>
      </c>
      <c r="L46" s="61"/>
      <c r="M46" s="63"/>
      <c r="AW46" s="35"/>
      <c r="AX46" s="3"/>
      <c r="AY46" s="3"/>
      <c r="AZ46" s="3"/>
    </row>
    <row r="47" spans="1:52" ht="19.95" customHeight="1" x14ac:dyDescent="0.3">
      <c r="B47" s="7" t="s">
        <v>636</v>
      </c>
      <c r="C47" s="7" t="s">
        <v>639</v>
      </c>
      <c r="D47" s="38">
        <v>3</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60">
        <v>1</v>
      </c>
      <c r="R47" s="62" t="s">
        <v>29</v>
      </c>
      <c r="AN47" s="34" t="str">
        <f>B47</f>
        <v>BELGIUM</v>
      </c>
      <c r="AO47" s="34" cm="1">
        <f t="array" ref="AO47">3*SUMPRODUCT(($B$47:$B$52=AN47)*($D$47:$D$52&gt;$E$47:$E$52))+3*SUMPRODUCT(($C$47:$C$52=AN47)*($E$47:$E$52&gt;$D$47:$D$52))+SUMPRODUCT((($B$47:$B$52=AN47)+($C$47:$C$52=AN47))*($D$47:$D$52=$E$47:$E$52)*(LEN($D$47:$D$52)&gt;0))</f>
        <v>9</v>
      </c>
      <c r="AP47" s="34">
        <f>AO47*1000000+(AQ47-AR47)*1000+AQ47*10-0</f>
        <v>9006080</v>
      </c>
      <c r="AQ47" s="34" cm="1">
        <f t="array" ref="AQ47">SUMPRODUCT(($B$47:$B$52=AN47)*$D$47:$D$52)+SUMPRODUCT(($C$47:$C$52=AN47)*$E$47:$E$52)</f>
        <v>8</v>
      </c>
      <c r="AR47" s="34" cm="1">
        <f t="array" ref="AR47">SUMPRODUCT(($B$47:$B$52=AN47)*$E$47:$E$52)+SUMPRODUCT(($C$47:$C$52=AN47)*$D$47:$D$52)</f>
        <v>2</v>
      </c>
      <c r="AW47" s="35"/>
      <c r="AX47" s="3"/>
      <c r="AY47" s="3"/>
      <c r="AZ47" s="3"/>
    </row>
    <row r="48" spans="1:52" ht="19.95" customHeight="1" x14ac:dyDescent="0.3">
      <c r="B48" s="7" t="s">
        <v>637</v>
      </c>
      <c r="C48" s="7" t="s">
        <v>638</v>
      </c>
      <c r="D48" s="40">
        <v>1</v>
      </c>
      <c r="E48" s="41">
        <v>1</v>
      </c>
      <c r="F48" s="25" t="s">
        <v>42</v>
      </c>
      <c r="G48" s="10" t="str" cm="1">
        <f t="array" ref="G48">IF(SUMPRODUCT((LEN($D$47:$D$52)&gt;0)*(LEN($E$47:$E$52)&gt;0))=0,"",IFERROR(INDEX($AN$47:$AN$50,MATCH(LARGE($AP$47:$AP$50,2),$AP$47:$AP$50,0)),""))</f>
        <v>NEW ZEALAND</v>
      </c>
      <c r="H48" s="10" cm="1">
        <f t="array" ref="H48">IF(SUMPRODUCT((LEN($D$47:$D$52)&gt;0)*(LEN($E$47:$E$52)&gt;0))=0,"",IFERROR(INDEX($AO$47:$AO$50,MATCH(LARGE($AP$47:$AP$50,2),$AP$47:$AP$50,0)),""))</f>
        <v>4</v>
      </c>
      <c r="O48" s="14" t="s">
        <v>76</v>
      </c>
      <c r="P48" s="15" t="str">
        <f>IF(L49="","",IF(L49=1, K49, K50))</f>
        <v>CROATIA</v>
      </c>
      <c r="Q48" s="61"/>
      <c r="R48" s="63"/>
      <c r="AN48" s="34" t="str">
        <f>C47</f>
        <v>EGYPT</v>
      </c>
      <c r="AO48" s="34" cm="1">
        <f t="array" ref="AO48">3*SUMPRODUCT(($B$47:$B$52=AN48)*($D$47:$D$52&gt;$E$47:$E$52))+3*SUMPRODUCT(($C$47:$C$52=AN48)*($E$47:$E$52&gt;$D$47:$D$52))+SUMPRODUCT((($B$47:$B$52=AN48)+($C$47:$C$52=AN48))*($D$47:$D$52=$E$47:$E$52)*(LEN($D$47:$D$52)&gt;0))</f>
        <v>3</v>
      </c>
      <c r="AP48" s="34">
        <f>AO48*1000000+(AQ48-AR48)*1000+AQ48*10-1</f>
        <v>2998039</v>
      </c>
      <c r="AQ48" s="34" cm="1">
        <f t="array" ref="AQ48">SUMPRODUCT(($B$47:$B$52=AN48)*$D$47:$D$52)+SUMPRODUCT(($C$47:$C$52=AN48)*$E$47:$E$52)</f>
        <v>4</v>
      </c>
      <c r="AR48" s="34" cm="1">
        <f t="array" ref="AR48">SUMPRODUCT(($B$47:$B$52=AN48)*$E$47:$E$52)+SUMPRODUCT(($C$47:$C$52=AN48)*$D$47:$D$52)</f>
        <v>6</v>
      </c>
      <c r="AW48" s="35"/>
      <c r="AX48" s="3"/>
      <c r="AY48" s="3"/>
      <c r="AZ48" s="3"/>
    </row>
    <row r="49" spans="2:52" ht="19.95" customHeight="1" x14ac:dyDescent="0.3">
      <c r="B49" s="7" t="s">
        <v>636</v>
      </c>
      <c r="C49" s="7" t="s">
        <v>637</v>
      </c>
      <c r="D49" s="40">
        <v>4</v>
      </c>
      <c r="E49" s="41">
        <v>1</v>
      </c>
      <c r="F49" s="26" t="s">
        <v>43</v>
      </c>
      <c r="G49" s="17" t="str" cm="1">
        <f t="array" ref="G49">IF(SUMPRODUCT((LEN($D$47:$D$52)&gt;0)*(LEN($E$47:$E$52)&gt;0))=0,"",IFERROR(INDEX($AN$47:$AN$50,MATCH(LARGE($AP$47:$AP$50,3),$AP$47:$AP$50,0)),""))</f>
        <v>EGYPT</v>
      </c>
      <c r="H49" s="17" cm="1">
        <f t="array" ref="H49">IF(SUMPRODUCT((LEN($D$47:$D$52)&gt;0)*(LEN($E$47:$E$52)&gt;0))=0,"",IFERROR(INDEX($AO$47:$AO$50,MATCH(LARGE($AP$47:$AP$50,3),$AP$47:$AP$50,0)),""))</f>
        <v>3</v>
      </c>
      <c r="J49" s="11" t="s">
        <v>61</v>
      </c>
      <c r="K49" s="12" t="str">
        <f>_xlfn.XLOOKUP(J49,$F$5:$F$85,$G$5:$G$85, "")</f>
        <v>CROATIA</v>
      </c>
      <c r="L49" s="60">
        <v>1</v>
      </c>
      <c r="M49" s="62"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1</v>
      </c>
      <c r="AP49" s="34">
        <f>AO49*1000000+(AQ49-AR49)*1000+AQ49*10-2</f>
        <v>996038</v>
      </c>
      <c r="AQ49" s="34" cm="1">
        <f t="array" ref="AQ49">SUMPRODUCT(($B$47:$B$52=AN49)*$D$47:$D$52)+SUMPRODUCT(($C$47:$C$52=AN49)*$E$47:$E$52)</f>
        <v>4</v>
      </c>
      <c r="AR49" s="34" cm="1">
        <f t="array" ref="AR49">SUMPRODUCT(($B$47:$B$52=AN49)*$E$47:$E$52)+SUMPRODUCT(($C$47:$C$52=AN49)*$D$47:$D$52)</f>
        <v>8</v>
      </c>
      <c r="AW49" s="35"/>
      <c r="AX49" s="3"/>
      <c r="AY49" s="3"/>
      <c r="AZ49" s="3"/>
    </row>
    <row r="50" spans="2:52" ht="19.95" customHeight="1" x14ac:dyDescent="0.3">
      <c r="B50" s="7" t="s">
        <v>638</v>
      </c>
      <c r="C50" s="7" t="s">
        <v>639</v>
      </c>
      <c r="D50" s="40">
        <v>1</v>
      </c>
      <c r="E50" s="41">
        <v>0</v>
      </c>
      <c r="F50" s="27" t="s">
        <v>44</v>
      </c>
      <c r="G50" s="7" t="str" cm="1">
        <f t="array" ref="G50">IF(SUMPRODUCT((LEN($D$47:$D$52)&gt;0)*(LEN($E$47:$E$52)&gt;0))=0,"",IFERROR(INDEX($AN$47:$AN$50,MATCH(LARGE($AP$47:$AP$50,4),$AP$47:$AP$50,0)),""))</f>
        <v>IRAN</v>
      </c>
      <c r="H50" s="7" cm="1">
        <f t="array" ref="H50">IF(SUMPRODUCT((LEN($D$47:$D$52)&gt;0)*(LEN($E$47:$E$52)&gt;0))=0,"",IFERROR(INDEX($AO$47:$AO$50,MATCH(LARGE($AP$47:$AP$50,4),$AP$47:$AP$50,0)),""))</f>
        <v>1</v>
      </c>
      <c r="J50" s="14" t="str">
        <f>AU30</f>
        <v>3E</v>
      </c>
      <c r="K50" s="15" t="str">
        <f>_xlfn.XLOOKUP(J50,$F$5:$F$85,$G$5:$G$85, "")</f>
        <v>IVORY COAST</v>
      </c>
      <c r="L50" s="61"/>
      <c r="M50" s="63"/>
      <c r="AN50" s="34" t="str">
        <f>C48</f>
        <v>NEW ZEALAND</v>
      </c>
      <c r="AO50" s="34" cm="1">
        <f t="array" ref="AO50">3*SUMPRODUCT(($B$47:$B$52=AN50)*($D$47:$D$52&gt;$E$47:$E$52))+3*SUMPRODUCT(($C$47:$C$52=AN50)*($E$47:$E$52&gt;$D$47:$D$52))+SUMPRODUCT((($B$47:$B$52=AN50)+($C$47:$C$52=AN50))*($D$47:$D$52=$E$47:$E$52)*(LEN($D$47:$D$52)&gt;0))</f>
        <v>4</v>
      </c>
      <c r="AP50" s="34">
        <f>AO50*1000000+(AQ50-AR50)*1000+AQ50*10-3</f>
        <v>4000017</v>
      </c>
      <c r="AQ50" s="34" cm="1">
        <f t="array" ref="AQ50">SUMPRODUCT(($B$47:$B$52=AN50)*$D$47:$D$52)+SUMPRODUCT(($C$47:$C$52=AN50)*$E$47:$E$52)</f>
        <v>2</v>
      </c>
      <c r="AR50" s="34" cm="1">
        <f t="array" ref="AR50">SUMPRODUCT(($B$47:$B$52=AN50)*$E$47:$E$52)+SUMPRODUCT(($C$47:$C$52=AN50)*$D$47:$D$52)</f>
        <v>2</v>
      </c>
      <c r="AW50" s="35"/>
      <c r="AX50" s="3"/>
      <c r="AY50" s="3"/>
      <c r="AZ50" s="3"/>
    </row>
    <row r="51" spans="2:52" ht="19.95" customHeight="1" x14ac:dyDescent="0.3">
      <c r="B51" s="7" t="s">
        <v>639</v>
      </c>
      <c r="C51" s="7" t="s">
        <v>637</v>
      </c>
      <c r="D51" s="40">
        <v>3</v>
      </c>
      <c r="E51" s="41">
        <v>2</v>
      </c>
      <c r="H51" s="28"/>
      <c r="Y51" s="11" t="s">
        <v>34</v>
      </c>
      <c r="Z51" s="12" t="str">
        <f>IF(V43="","",IF(V43=1, U43, U44))</f>
        <v>BRAZIL</v>
      </c>
      <c r="AA51" s="60">
        <v>2</v>
      </c>
      <c r="AB51" s="62" t="s">
        <v>37</v>
      </c>
      <c r="AW51" s="35"/>
      <c r="AX51" s="3"/>
      <c r="AY51" s="3"/>
      <c r="AZ51" s="3"/>
    </row>
    <row r="52" spans="2:52" ht="19.95" customHeight="1" x14ac:dyDescent="0.3">
      <c r="B52" s="7" t="s">
        <v>638</v>
      </c>
      <c r="C52" s="7" t="s">
        <v>636</v>
      </c>
      <c r="D52" s="40">
        <v>0</v>
      </c>
      <c r="E52" s="41">
        <v>1</v>
      </c>
      <c r="F52" s="23"/>
      <c r="G52" s="23"/>
      <c r="H52" s="24"/>
      <c r="Y52" s="14" t="s">
        <v>35</v>
      </c>
      <c r="Z52" s="15" t="str">
        <f>IF(V59="","",IF(V59=1, U59, U60))</f>
        <v>PORTUGAL</v>
      </c>
      <c r="AA52" s="61"/>
      <c r="AB52" s="63"/>
      <c r="AW52" s="35"/>
      <c r="AX52" s="3"/>
      <c r="AY52" s="3"/>
      <c r="AZ52" s="3"/>
    </row>
    <row r="53" spans="2:52" ht="19.95" customHeight="1" x14ac:dyDescent="0.3">
      <c r="B53" s="67" t="s">
        <v>605</v>
      </c>
      <c r="C53" s="68"/>
      <c r="D53" s="68"/>
      <c r="E53" s="68"/>
      <c r="F53" s="68"/>
      <c r="G53" s="68"/>
      <c r="H53" s="69"/>
      <c r="J53" s="11" t="s">
        <v>53</v>
      </c>
      <c r="K53" s="12" t="str">
        <f>_xlfn.XLOOKUP(J53,$F$5:$F$85,$G$5:$G$85, "")</f>
        <v>ARGENTINA</v>
      </c>
      <c r="L53" s="60">
        <v>1</v>
      </c>
      <c r="M53" s="62" t="s">
        <v>77</v>
      </c>
      <c r="AW53" s="35"/>
      <c r="AX53" s="3"/>
      <c r="AY53" s="3"/>
      <c r="AZ53" s="3"/>
    </row>
    <row r="54" spans="2:52" ht="19.95" customHeight="1" x14ac:dyDescent="0.3">
      <c r="B54" s="7" t="s">
        <v>640</v>
      </c>
      <c r="C54" s="7" t="s">
        <v>643</v>
      </c>
      <c r="D54" s="38">
        <v>3</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61"/>
      <c r="M54" s="63"/>
      <c r="AN54" s="34" t="str">
        <f>B54</f>
        <v>SPAIN</v>
      </c>
      <c r="AO54" s="34" cm="1">
        <f t="array" ref="AO54">3*SUMPRODUCT(($B$54:$B$59=AN54)*($D$54:$D$59&gt;$E$54:$E$59))+3*SUMPRODUCT(($C$54:$C$59=AN54)*($E$54:$E$59&gt;$D$54:$D$59))+SUMPRODUCT((($B$54:$B$59=AN54)+($C$54:$C$59=AN54))*($D$54:$D$59=$E$54:$E$59)*(LEN($D$54:$D$59)&gt;0))</f>
        <v>9</v>
      </c>
      <c r="AP54" s="34">
        <f>AO54*1000000+(AQ54-AR54)*1000+AQ54*10-0</f>
        <v>9008080</v>
      </c>
      <c r="AQ54" s="34" cm="1">
        <f t="array" ref="AQ54">SUMPRODUCT(($B$54:$B$59=AN54)*$D$54:$D$59)+SUMPRODUCT(($C$54:$C$59=AN54)*$E$54:$E$59)</f>
        <v>8</v>
      </c>
      <c r="AR54" s="34" cm="1">
        <f t="array" ref="AR54">SUMPRODUCT(($B$54:$B$59=AN54)*$E$54:$E$59)+SUMPRODUCT(($C$54:$C$59=AN54)*$D$54:$D$59)</f>
        <v>0</v>
      </c>
      <c r="AW54" s="35"/>
      <c r="AX54" s="3"/>
      <c r="AY54" s="3"/>
      <c r="AZ54" s="3"/>
    </row>
    <row r="55" spans="2:52" ht="19.95" customHeight="1" x14ac:dyDescent="0.3">
      <c r="B55" s="7" t="s">
        <v>641</v>
      </c>
      <c r="C55" s="7" t="s">
        <v>642</v>
      </c>
      <c r="D55" s="40">
        <v>2</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4</v>
      </c>
      <c r="O55" s="11" t="s">
        <v>77</v>
      </c>
      <c r="P55" s="12" t="str">
        <f>IF(L53="","",IF(L53=1, K53, K54))</f>
        <v>ARGENTINA</v>
      </c>
      <c r="Q55" s="60">
        <v>1</v>
      </c>
      <c r="R55" s="62" t="s">
        <v>30</v>
      </c>
      <c r="AD55" s="51" t="s">
        <v>668</v>
      </c>
      <c r="AE55" s="52"/>
      <c r="AF55" s="52"/>
      <c r="AG55" s="52"/>
      <c r="AH55" s="52"/>
      <c r="AI55" s="52"/>
      <c r="AJ55" s="52"/>
      <c r="AK55" s="52"/>
      <c r="AL55" s="53"/>
      <c r="AN55" s="34" t="str">
        <f>C54</f>
        <v>CAPO VERDE</v>
      </c>
      <c r="AO55" s="34" cm="1">
        <f t="array" ref="AO55">3*SUMPRODUCT(($B$54:$B$59=AN55)*($D$54:$D$59&gt;$E$54:$E$59))+3*SUMPRODUCT(($C$54:$C$59=AN55)*($E$54:$E$59&gt;$D$54:$D$59))+SUMPRODUCT((($B$54:$B$59=AN55)+($C$54:$C$59=AN55))*($D$54:$D$59=$E$54:$E$59)*(LEN($D$54:$D$59)&gt;0))</f>
        <v>0</v>
      </c>
      <c r="AP55" s="34">
        <f>AO55*1000000+(AQ55-AR55)*1000+AQ55*10-1</f>
        <v>-5991</v>
      </c>
      <c r="AQ55" s="34" cm="1">
        <f t="array" ref="AQ55">SUMPRODUCT(($B$54:$B$59=AN55)*$D$54:$D$59)+SUMPRODUCT(($C$54:$C$59=AN55)*$E$54:$E$59)</f>
        <v>1</v>
      </c>
      <c r="AR55" s="34" cm="1">
        <f t="array" ref="AR55">SUMPRODUCT(($B$54:$B$59=AN55)*$E$54:$E$59)+SUMPRODUCT(($C$54:$C$59=AN55)*$D$54:$D$59)</f>
        <v>7</v>
      </c>
      <c r="AW55" s="35"/>
      <c r="AX55" s="3"/>
      <c r="AY55" s="3"/>
      <c r="AZ55" s="3"/>
    </row>
    <row r="56" spans="2:52" ht="19.95" customHeight="1" x14ac:dyDescent="0.3">
      <c r="B56" s="7" t="s">
        <v>640</v>
      </c>
      <c r="C56" s="7" t="s">
        <v>641</v>
      </c>
      <c r="D56" s="40">
        <v>3</v>
      </c>
      <c r="E56" s="41">
        <v>0</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4</v>
      </c>
      <c r="O56" s="14" t="s">
        <v>78</v>
      </c>
      <c r="P56" s="15" t="str">
        <f>IF(L57="","",IF(L57=1, K57, K58))</f>
        <v>PARAGUAY</v>
      </c>
      <c r="Q56" s="61"/>
      <c r="R56" s="63"/>
      <c r="AD56" s="54"/>
      <c r="AE56" s="55"/>
      <c r="AF56" s="55"/>
      <c r="AG56" s="55"/>
      <c r="AH56" s="55"/>
      <c r="AI56" s="55"/>
      <c r="AJ56" s="55"/>
      <c r="AK56" s="55"/>
      <c r="AL56" s="56"/>
      <c r="AN56" s="34" t="str">
        <f>B55</f>
        <v>SAUDI ARABIA</v>
      </c>
      <c r="AO56" s="34" cm="1">
        <f t="array" ref="AO56">3*SUMPRODUCT(($B$54:$B$59=AN56)*($D$54:$D$59&gt;$E$54:$E$59))+3*SUMPRODUCT(($C$54:$C$59=AN56)*($E$54:$E$59&gt;$D$54:$D$59))+SUMPRODUCT((($B$54:$B$59=AN56)+($C$54:$C$59=AN56))*($D$54:$D$59=$E$54:$E$59)*(LEN($D$54:$D$59)&gt;0))</f>
        <v>4</v>
      </c>
      <c r="AP56" s="34">
        <f>AO56*1000000+(AQ56-AR56)*1000+AQ56*10-2</f>
        <v>3998038</v>
      </c>
      <c r="AQ56" s="34" cm="1">
        <f t="array" ref="AQ56">SUMPRODUCT(($B$54:$B$59=AN56)*$D$54:$D$59)+SUMPRODUCT(($C$54:$C$59=AN56)*$E$54:$E$59)</f>
        <v>4</v>
      </c>
      <c r="AR56" s="34" cm="1">
        <f t="array" ref="AR56">SUMPRODUCT(($B$54:$B$59=AN56)*$E$54:$E$59)+SUMPRODUCT(($C$54:$C$59=AN56)*$D$54:$D$59)</f>
        <v>6</v>
      </c>
      <c r="AW56" s="35"/>
      <c r="AX56" s="3"/>
      <c r="AY56" s="3"/>
      <c r="AZ56" s="3"/>
    </row>
    <row r="57" spans="2:52" ht="19.95" customHeight="1" x14ac:dyDescent="0.3">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0</v>
      </c>
      <c r="J57" s="11" t="s">
        <v>13</v>
      </c>
      <c r="K57" s="12" t="str">
        <f>_xlfn.XLOOKUP(J57,$F$5:$F$85,$G$5:$G$85, "")</f>
        <v>PARAGUAY</v>
      </c>
      <c r="L57" s="60">
        <v>1</v>
      </c>
      <c r="M57" s="62" t="s">
        <v>78</v>
      </c>
      <c r="AD57" s="54"/>
      <c r="AE57" s="55"/>
      <c r="AF57" s="55"/>
      <c r="AG57" s="55"/>
      <c r="AH57" s="55"/>
      <c r="AI57" s="55"/>
      <c r="AJ57" s="55"/>
      <c r="AK57" s="55"/>
      <c r="AL57" s="56"/>
      <c r="AN57" s="34" t="str">
        <f>C55</f>
        <v>URUGUAY</v>
      </c>
      <c r="AO57" s="34" cm="1">
        <f t="array" ref="AO57">3*SUMPRODUCT(($B$54:$B$59=AN57)*($D$54:$D$59&gt;$E$54:$E$59))+3*SUMPRODUCT(($C$54:$C$59=AN57)*($E$54:$E$59&gt;$D$54:$D$59))+SUMPRODUCT((($B$54:$B$59=AN57)+($C$54:$C$59=AN57))*($D$54:$D$59=$E$54:$E$59)*(LEN($D$54:$D$59)&gt;0))</f>
        <v>4</v>
      </c>
      <c r="AP57" s="34">
        <f>AO57*1000000+(AQ57-AR57)*1000+AQ57*10-3</f>
        <v>4000037</v>
      </c>
      <c r="AQ57" s="34" cm="1">
        <f t="array" ref="AQ57">SUMPRODUCT(($B$54:$B$59=AN57)*$D$54:$D$59)+SUMPRODUCT(($C$54:$C$59=AN57)*$E$54:$E$59)</f>
        <v>4</v>
      </c>
      <c r="AR57" s="34" cm="1">
        <f t="array" ref="AR57">SUMPRODUCT(($B$54:$B$59=AN57)*$E$54:$E$59)+SUMPRODUCT(($C$54:$C$59=AN57)*$D$54:$D$59)</f>
        <v>4</v>
      </c>
      <c r="AW57" s="35"/>
      <c r="AX57" s="3"/>
      <c r="AY57" s="3"/>
      <c r="AZ57" s="3"/>
    </row>
    <row r="58" spans="2:52" ht="19.95" customHeight="1" x14ac:dyDescent="0.3">
      <c r="B58" s="7" t="s">
        <v>643</v>
      </c>
      <c r="C58" s="7" t="s">
        <v>641</v>
      </c>
      <c r="D58" s="40">
        <v>1</v>
      </c>
      <c r="E58" s="41">
        <v>2</v>
      </c>
      <c r="H58" s="28"/>
      <c r="J58" s="14" t="s">
        <v>42</v>
      </c>
      <c r="K58" s="15" t="str">
        <f>_xlfn.XLOOKUP(J58,$F$5:$F$85,$G$5:$G$85, "")</f>
        <v>NEW ZEALAND</v>
      </c>
      <c r="L58" s="61"/>
      <c r="M58" s="63"/>
      <c r="AD58" s="57"/>
      <c r="AE58" s="58"/>
      <c r="AF58" s="58"/>
      <c r="AG58" s="58"/>
      <c r="AH58" s="58"/>
      <c r="AI58" s="58"/>
      <c r="AJ58" s="58"/>
      <c r="AK58" s="58"/>
      <c r="AL58" s="59"/>
      <c r="AW58" s="35"/>
      <c r="AX58" s="3"/>
      <c r="AY58" s="3"/>
      <c r="AZ58" s="3"/>
    </row>
    <row r="59" spans="2:52" ht="19.95" customHeight="1" x14ac:dyDescent="0.3">
      <c r="B59" s="7" t="s">
        <v>642</v>
      </c>
      <c r="C59" s="7" t="s">
        <v>640</v>
      </c>
      <c r="D59" s="40">
        <v>0</v>
      </c>
      <c r="E59" s="41">
        <v>2</v>
      </c>
      <c r="F59" s="23"/>
      <c r="G59" s="23"/>
      <c r="H59" s="24"/>
      <c r="T59" s="11" t="s">
        <v>30</v>
      </c>
      <c r="U59" s="12" t="str">
        <f>IF(Q55="","",IF(Q55=1, P55, P56))</f>
        <v>ARGENTINA</v>
      </c>
      <c r="V59" s="60">
        <v>2</v>
      </c>
      <c r="W59" s="62" t="s">
        <v>35</v>
      </c>
      <c r="AD59" s="81" t="s">
        <v>670</v>
      </c>
      <c r="AE59" s="76"/>
      <c r="AF59" s="76"/>
      <c r="AG59" s="76"/>
      <c r="AH59" s="76"/>
      <c r="AI59" s="76"/>
      <c r="AJ59" s="76"/>
      <c r="AK59" s="76"/>
      <c r="AL59" s="77"/>
      <c r="AW59" s="35"/>
      <c r="AX59" s="3"/>
      <c r="AY59" s="3"/>
      <c r="AZ59" s="3"/>
    </row>
    <row r="60" spans="2:52" ht="19.95" customHeight="1" x14ac:dyDescent="0.3">
      <c r="B60" s="67" t="s">
        <v>606</v>
      </c>
      <c r="C60" s="68"/>
      <c r="D60" s="68"/>
      <c r="E60" s="68"/>
      <c r="F60" s="68"/>
      <c r="G60" s="68"/>
      <c r="H60" s="69"/>
      <c r="T60" s="14" t="s">
        <v>31</v>
      </c>
      <c r="U60" s="15" t="str">
        <f>IF(Q63="","",IF(Q63=1, P63, P64))</f>
        <v>PORTUGAL</v>
      </c>
      <c r="V60" s="61"/>
      <c r="W60" s="63"/>
      <c r="AD60" s="78"/>
      <c r="AE60" s="79"/>
      <c r="AF60" s="79"/>
      <c r="AG60" s="79"/>
      <c r="AH60" s="79"/>
      <c r="AI60" s="79"/>
      <c r="AJ60" s="79"/>
      <c r="AK60" s="79"/>
      <c r="AL60" s="80"/>
      <c r="AW60" s="35"/>
      <c r="AX60" s="3"/>
      <c r="AY60" s="3"/>
      <c r="AZ60" s="3"/>
    </row>
    <row r="61" spans="2:52" ht="19.95" customHeight="1" x14ac:dyDescent="0.3">
      <c r="B61" s="7" t="s">
        <v>645</v>
      </c>
      <c r="C61" s="7" t="s">
        <v>644</v>
      </c>
      <c r="D61" s="8">
        <v>3</v>
      </c>
      <c r="E61" s="8">
        <v>1</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SWITZERLAND</v>
      </c>
      <c r="L61" s="60">
        <v>1</v>
      </c>
      <c r="M61" s="62"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9007100</v>
      </c>
      <c r="AQ61" s="34" cm="1">
        <f t="array" ref="AQ61">SUMPRODUCT(($B$61:$B$66=AN61)*$D$61:$D$66)+SUMPRODUCT(($C$61:$C$66=AN61)*$E$61:$E$66)</f>
        <v>10</v>
      </c>
      <c r="AR61" s="34" cm="1">
        <f t="array" ref="AR61">SUMPRODUCT(($B$61:$B$66=AN61)*$E$61:$E$66)+SUMPRODUCT(($C$61:$C$66=AN61)*$D$61:$D$66)</f>
        <v>3</v>
      </c>
      <c r="AW61" s="35"/>
      <c r="AX61" s="3"/>
      <c r="AY61" s="3"/>
      <c r="AZ61" s="3"/>
    </row>
    <row r="62" spans="2:52" ht="19.95" customHeight="1" x14ac:dyDescent="0.3">
      <c r="B62" s="7" t="s">
        <v>646</v>
      </c>
      <c r="C62" s="7" t="s">
        <v>647</v>
      </c>
      <c r="D62" s="8">
        <v>0</v>
      </c>
      <c r="E62" s="8">
        <v>4</v>
      </c>
      <c r="F62" s="25" t="s">
        <v>50</v>
      </c>
      <c r="G62" s="10" t="str" cm="1">
        <f t="array" ref="G62">IF(SUMPRODUCT((LEN($D$61:$D$66)&gt;0)*(LEN($E$61:$E$66)&gt;0))=0,"",IFERROR(INDEX($AN$61:$AN$64,MATCH(LARGE($AP$61:$AP$64,2),$AP$61:$AP$64,0)),""))</f>
        <v>NORWAY</v>
      </c>
      <c r="H62" s="10" cm="1">
        <f t="array" ref="H62">IF(SUMPRODUCT((LEN($D$61:$D$66)&gt;0)*(LEN($E$61:$E$66)&gt;0))=0,"",IFERROR(INDEX($AO$61:$AO$64,MATCH(LARGE($AP$61:$AP$64,2),$AP$61:$AP$64,0)),""))</f>
        <v>6</v>
      </c>
      <c r="J62" s="14" t="str">
        <f>AU24</f>
        <v>3J</v>
      </c>
      <c r="K62" s="15" t="str">
        <f>_xlfn.XLOOKUP(J62,$F$5:$F$85,$G$5:$G$85, "")</f>
        <v>ALGERIA</v>
      </c>
      <c r="L62" s="61"/>
      <c r="M62" s="63"/>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2998039</v>
      </c>
      <c r="AQ62" s="34" cm="1">
        <f t="array" ref="AQ62">SUMPRODUCT(($B$61:$B$66=AN62)*$D$61:$D$66)+SUMPRODUCT(($C$61:$C$66=AN62)*$E$61:$E$66)</f>
        <v>4</v>
      </c>
      <c r="AR62" s="34" cm="1">
        <f t="array" ref="AR62">SUMPRODUCT(($B$61:$B$66=AN62)*$E$61:$E$66)+SUMPRODUCT(($C$61:$C$66=AN62)*$D$61:$D$66)</f>
        <v>6</v>
      </c>
      <c r="AW62" s="35"/>
      <c r="AX62" s="3"/>
      <c r="AY62" s="3"/>
      <c r="AZ62" s="3"/>
    </row>
    <row r="63" spans="2:52" ht="19.95" customHeight="1" x14ac:dyDescent="0.3">
      <c r="B63" s="7" t="s">
        <v>645</v>
      </c>
      <c r="C63" s="7" t="s">
        <v>646</v>
      </c>
      <c r="D63" s="8">
        <v>5</v>
      </c>
      <c r="E63" s="8">
        <v>1</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60">
        <v>2</v>
      </c>
      <c r="R63" s="62" t="s">
        <v>31</v>
      </c>
      <c r="AD63" s="42" t="s">
        <v>666</v>
      </c>
      <c r="AE63" s="43"/>
      <c r="AF63" s="43"/>
      <c r="AG63" s="43"/>
      <c r="AH63" s="44"/>
      <c r="AI63" s="32"/>
      <c r="AJ63" s="42" t="s">
        <v>667</v>
      </c>
      <c r="AK63" s="43"/>
      <c r="AL63" s="44"/>
      <c r="AM63" s="33"/>
      <c r="AN63" s="34" t="str">
        <f t="shared" ref="AN63:AN64" si="2">C62</f>
        <v>NORWAY</v>
      </c>
      <c r="AO63" s="34" cm="1">
        <f t="array" ref="AO63">3*SUMPRODUCT(($B$61:$B$66=AN63)*($D$61:$D$66&gt;$E$61:$E$66))+3*SUMPRODUCT(($C$61:$C$66=AN63)*($E$61:$E$66&gt;$D$61:$D$66))+SUMPRODUCT((($B$61:$B$66=AN63)+($C$61:$C$66=AN63))*($D$61:$D$66=$E$61:$E$66)*(LEN($D$61:$D$66)&gt;0))</f>
        <v>6</v>
      </c>
      <c r="AP63" s="34">
        <f>AO63*1000000+(AQ63-AR63)*1000+AQ63*10-2</f>
        <v>6004078</v>
      </c>
      <c r="AQ63" s="34" cm="1">
        <f t="array" ref="AQ63">SUMPRODUCT(($B$61:$B$66=AN63)*$D$61:$D$66)+SUMPRODUCT(($C$61:$C$66=AN63)*$E$61:$E$66)</f>
        <v>8</v>
      </c>
      <c r="AR63" s="34" cm="1">
        <f t="array" ref="AR63">SUMPRODUCT(($B$61:$B$66=AN63)*$E$61:$E$66)+SUMPRODUCT(($C$61:$C$66=AN63)*$D$61:$D$66)</f>
        <v>4</v>
      </c>
      <c r="AW63" s="35"/>
      <c r="AX63" s="3"/>
      <c r="AY63" s="3"/>
      <c r="AZ63" s="3"/>
    </row>
    <row r="64" spans="2:52" ht="19.95" customHeight="1" x14ac:dyDescent="0.3">
      <c r="B64" s="7" t="s">
        <v>647</v>
      </c>
      <c r="C64" s="7" t="s">
        <v>644</v>
      </c>
      <c r="D64" s="8">
        <v>3</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61"/>
      <c r="R64" s="63"/>
      <c r="AD64" s="45"/>
      <c r="AE64" s="46"/>
      <c r="AF64" s="46"/>
      <c r="AG64" s="46"/>
      <c r="AH64" s="47"/>
      <c r="AI64" s="32"/>
      <c r="AJ64" s="45"/>
      <c r="AK64" s="46"/>
      <c r="AL64" s="47"/>
      <c r="AM64" s="33"/>
      <c r="AN64" s="34" t="str">
        <f t="shared" si="2"/>
        <v>IRAQ</v>
      </c>
      <c r="AO64" s="34" cm="1">
        <f t="array" ref="AO64">3*SUMPRODUCT(($B$61:$B$66=AN64)*($D$61:$D$66&gt;$E$61:$E$66))+3*SUMPRODUCT(($C$61:$C$66=AN64)*($E$61:$E$66&gt;$D$61:$D$66))+SUMPRODUCT((($B$61:$B$66=AN64)+($C$61:$C$66=AN64))*($D$61:$D$66=$E$61:$E$66)*(LEN($D$61:$D$66)&gt;0))</f>
        <v>0</v>
      </c>
      <c r="AP64" s="34">
        <f>AO64*1000000+(AQ64-AR64)*1000+AQ64*10-3</f>
        <v>-8993</v>
      </c>
      <c r="AQ64" s="34" cm="1">
        <f t="array" ref="AQ64">SUMPRODUCT(($B$61:$B$66=AN64)*$D$61:$D$66)+SUMPRODUCT(($C$61:$C$66=AN64)*$E$61:$E$66)</f>
        <v>1</v>
      </c>
      <c r="AR64" s="34" cm="1">
        <f t="array" ref="AR64">SUMPRODUCT(($B$61:$B$66=AN64)*$E$61:$E$66)+SUMPRODUCT(($C$61:$C$66=AN64)*$D$61:$D$66)</f>
        <v>10</v>
      </c>
      <c r="AW64" s="35"/>
      <c r="AX64" s="3"/>
      <c r="AY64" s="3"/>
      <c r="AZ64" s="3"/>
    </row>
    <row r="65" spans="2:52" ht="19.95" customHeight="1" x14ac:dyDescent="0.3">
      <c r="B65" s="7" t="s">
        <v>647</v>
      </c>
      <c r="C65" s="7" t="s">
        <v>645</v>
      </c>
      <c r="D65" s="8">
        <v>1</v>
      </c>
      <c r="E65" s="8">
        <v>2</v>
      </c>
      <c r="H65" s="28"/>
      <c r="J65" s="11" t="s">
        <v>57</v>
      </c>
      <c r="K65" s="12" t="str">
        <f>_xlfn.XLOOKUP(J65,$F$5:$F$85,$G$5:$G$85, "")</f>
        <v>PORTUGAL</v>
      </c>
      <c r="L65" s="60">
        <v>1</v>
      </c>
      <c r="M65" s="62" t="s">
        <v>80</v>
      </c>
      <c r="AD65" s="45"/>
      <c r="AE65" s="46"/>
      <c r="AF65" s="46"/>
      <c r="AG65" s="46"/>
      <c r="AH65" s="47"/>
      <c r="AI65" s="32"/>
      <c r="AJ65" s="45"/>
      <c r="AK65" s="46"/>
      <c r="AL65" s="47"/>
      <c r="AM65" s="33"/>
      <c r="AN65" s="37"/>
      <c r="AW65" s="35"/>
      <c r="AX65" s="3"/>
      <c r="AY65" s="3"/>
      <c r="AZ65" s="3"/>
    </row>
    <row r="66" spans="2:52" ht="19.95" customHeight="1" x14ac:dyDescent="0.3">
      <c r="B66" s="7" t="s">
        <v>644</v>
      </c>
      <c r="C66" s="7" t="s">
        <v>646</v>
      </c>
      <c r="D66" s="8">
        <v>1</v>
      </c>
      <c r="E66" s="8">
        <v>0</v>
      </c>
      <c r="F66" s="23"/>
      <c r="G66" s="23"/>
      <c r="H66" s="24"/>
      <c r="J66" s="14" t="str">
        <f>AU29</f>
        <v>3L</v>
      </c>
      <c r="K66" s="15" t="str">
        <f>_xlfn.XLOOKUP(J66,$F$5:$F$85,$G$5:$G$85, "")</f>
        <v>GHANA</v>
      </c>
      <c r="L66" s="61"/>
      <c r="M66" s="63"/>
      <c r="AD66" s="48"/>
      <c r="AE66" s="49"/>
      <c r="AF66" s="49"/>
      <c r="AG66" s="49"/>
      <c r="AH66" s="50"/>
      <c r="AI66" s="32"/>
      <c r="AJ66" s="48"/>
      <c r="AK66" s="49"/>
      <c r="AL66" s="50"/>
      <c r="AM66" s="33"/>
      <c r="AN66" s="37"/>
      <c r="AW66" s="35"/>
      <c r="AX66" s="3"/>
      <c r="AY66" s="3"/>
      <c r="AZ66" s="3"/>
    </row>
    <row r="67" spans="2:52" ht="19.95" customHeight="1" x14ac:dyDescent="0.3">
      <c r="B67" s="67" t="s">
        <v>607</v>
      </c>
      <c r="C67" s="68"/>
      <c r="D67" s="68"/>
      <c r="E67" s="68"/>
      <c r="F67" s="68"/>
      <c r="G67" s="68"/>
      <c r="H67" s="69"/>
      <c r="AW67" s="35"/>
      <c r="AX67" s="3"/>
      <c r="AY67" s="3"/>
      <c r="AZ67" s="3"/>
    </row>
    <row r="68" spans="2:52" ht="19.95" customHeight="1" x14ac:dyDescent="0.3">
      <c r="B68" s="7" t="s">
        <v>648</v>
      </c>
      <c r="C68" s="7" t="s">
        <v>649</v>
      </c>
      <c r="D68" s="8">
        <v>1</v>
      </c>
      <c r="E68" s="8">
        <v>1</v>
      </c>
      <c r="F68" s="25" t="s">
        <v>53</v>
      </c>
      <c r="G68" s="10" t="str" cm="1">
        <f t="array" ref="G68">IF(SUMPRODUCT((LEN($D$68:$D$73)&gt;0)*(LEN($E$68:$E$73)&gt;0))=0,"",IFERROR(INDEX($AN$68:$AN$71,MATCH(LARGE($AP$68:$AP$71,1),$AP$68:$AP$71,0)),""))</f>
        <v>ARGENTINA</v>
      </c>
      <c r="H68" s="10" cm="1">
        <f t="array" ref="H68">IF(SUMPRODUCT((LEN($D$68:$D$73)&gt;0)*(LEN($E$68:$E$73)&gt;0))=0,"",IFERROR(INDEX($AO$68:$AO$71,MATCH(LARGE($AP$68:$AP$71,1),$AP$68:$AP$71,0)),""))</f>
        <v>7</v>
      </c>
      <c r="AN68" s="34" t="str">
        <f>B68</f>
        <v>ARGENTINA</v>
      </c>
      <c r="AO68" s="34" cm="1">
        <f t="array" ref="AO68">3*SUMPRODUCT(($B$68:$B$73=AN68)*($D$68:$D$73&gt;$E$68:$E$73))+3*SUMPRODUCT(($C$68:$C$73=AN68)*($E$68:$E$73&gt;$D$68:$D$73))+SUMPRODUCT((($B$68:$B$73=AN68)+($C$68:$C$73=AN68))*($D$68:$D$73=$E$68:$E$73)*(LEN($D$68:$D$73)&gt;0))</f>
        <v>7</v>
      </c>
      <c r="AP68" s="34">
        <f>AO68*1000000+(AQ68-AR68)*1000+AQ68*10-0</f>
        <v>7004070</v>
      </c>
      <c r="AQ68" s="34" cm="1">
        <f t="array" ref="AQ68">SUMPRODUCT(($B$68:$B$73=AN68)*$D$68:$D$73)+SUMPRODUCT(($C$68:$C$73=AN68)*$E$68:$E$73)</f>
        <v>7</v>
      </c>
      <c r="AR68" s="34" cm="1">
        <f t="array" ref="AR68">SUMPRODUCT(($B$68:$B$73=AN68)*$E$68:$E$73)+SUMPRODUCT(($C$68:$C$73=AN68)*$D$68:$D$73)</f>
        <v>3</v>
      </c>
      <c r="AW68" s="35"/>
      <c r="AX68" s="3"/>
      <c r="AY68" s="3"/>
      <c r="AZ68" s="3"/>
    </row>
    <row r="69" spans="2:52" ht="19.95" customHeight="1" x14ac:dyDescent="0.3">
      <c r="B69" s="7" t="s">
        <v>650</v>
      </c>
      <c r="C69" s="7" t="s">
        <v>651</v>
      </c>
      <c r="D69" s="8">
        <v>3</v>
      </c>
      <c r="E69" s="8">
        <v>1</v>
      </c>
      <c r="F69" s="25" t="s">
        <v>54</v>
      </c>
      <c r="G69" s="10" t="str" cm="1">
        <f t="array" ref="G69">IF(SUMPRODUCT((LEN($D$68:$D$73)&gt;0)*(LEN($E$68:$E$73)&gt;0))=0,"",IFERROR(INDEX($AN$68:$AN$71,MATCH(LARGE($AP$68:$AP$71,2),$AP$68:$AP$71,0)),""))</f>
        <v>AUSTRIA</v>
      </c>
      <c r="H69" s="10" cm="1">
        <f t="array" ref="H69">IF(SUMPRODUCT((LEN($D$68:$D$73)&gt;0)*(LEN($E$68:$E$73)&gt;0))=0,"",IFERROR(INDEX($AO$68:$AO$71,MATCH(LARGE($AP$68:$AP$71,2),$AP$68:$AP$71,0)),""))</f>
        <v>6</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4000039</v>
      </c>
      <c r="AQ69" s="34" cm="1">
        <f t="array" ref="AQ69">SUMPRODUCT(($B$68:$B$73=AN69)*$D$68:$D$73)+SUMPRODUCT(($C$68:$C$73=AN69)*$E$68:$E$73)</f>
        <v>4</v>
      </c>
      <c r="AR69" s="34" cm="1">
        <f t="array" ref="AR69">SUMPRODUCT(($B$68:$B$73=AN69)*$E$68:$E$73)+SUMPRODUCT(($C$68:$C$73=AN69)*$D$68:$D$73)</f>
        <v>4</v>
      </c>
      <c r="AW69" s="35"/>
      <c r="AX69" s="3"/>
      <c r="AY69" s="3"/>
      <c r="AZ69" s="3"/>
    </row>
    <row r="70" spans="2:52" ht="19.95" customHeight="1" x14ac:dyDescent="0.3">
      <c r="B70" s="7" t="s">
        <v>648</v>
      </c>
      <c r="C70" s="7" t="s">
        <v>650</v>
      </c>
      <c r="D70" s="8">
        <v>3</v>
      </c>
      <c r="E70" s="8">
        <v>2</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6</v>
      </c>
      <c r="AP70" s="34">
        <f>AO70*1000000+(AQ70-AR70)*1000+AQ70*10-2</f>
        <v>6002068</v>
      </c>
      <c r="AQ70" s="34" cm="1">
        <f t="array" ref="AQ70">SUMPRODUCT(($B$68:$B$73=AN70)*$D$68:$D$73)+SUMPRODUCT(($C$68:$C$73=AN70)*$E$68:$E$73)</f>
        <v>7</v>
      </c>
      <c r="AR70" s="34" cm="1">
        <f t="array" ref="AR70">SUMPRODUCT(($B$68:$B$73=AN70)*$E$68:$E$73)+SUMPRODUCT(($C$68:$C$73=AN70)*$D$68:$D$73)</f>
        <v>5</v>
      </c>
      <c r="AW70" s="35"/>
      <c r="AX70" s="3"/>
      <c r="AY70" s="3"/>
      <c r="AZ70" s="3"/>
    </row>
    <row r="71" spans="2:52" ht="19.95" customHeight="1" x14ac:dyDescent="0.3">
      <c r="B71" s="7" t="s">
        <v>651</v>
      </c>
      <c r="C71" s="7" t="s">
        <v>649</v>
      </c>
      <c r="D71" s="8">
        <v>1</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-5983</v>
      </c>
      <c r="AQ71" s="34" cm="1">
        <f t="array" ref="AQ71">SUMPRODUCT(($B$68:$B$73=AN71)*$D$68:$D$73)+SUMPRODUCT(($C$68:$C$73=AN71)*$E$68:$E$73)</f>
        <v>2</v>
      </c>
      <c r="AR71" s="34" cm="1">
        <f t="array" ref="AR71">SUMPRODUCT(($B$68:$B$73=AN71)*$E$68:$E$73)+SUMPRODUCT(($C$68:$C$73=AN71)*$D$68:$D$73)</f>
        <v>8</v>
      </c>
      <c r="AW71" s="35"/>
      <c r="AX71" s="3"/>
      <c r="AY71" s="3"/>
      <c r="AZ71" s="3"/>
    </row>
    <row r="72" spans="2:52" ht="19.95" customHeight="1" x14ac:dyDescent="0.3">
      <c r="B72" s="7" t="s">
        <v>649</v>
      </c>
      <c r="C72" s="7" t="s">
        <v>650</v>
      </c>
      <c r="D72" s="8">
        <v>1</v>
      </c>
      <c r="E72" s="8">
        <v>2</v>
      </c>
      <c r="H72" s="28"/>
      <c r="N72" s="3"/>
      <c r="O72" s="3"/>
      <c r="P72" s="3"/>
      <c r="Q72" s="3"/>
      <c r="R72" s="3"/>
      <c r="S72" s="3"/>
      <c r="T72" s="3"/>
      <c r="U72" s="3"/>
      <c r="V72" s="3"/>
      <c r="AW72" s="35"/>
      <c r="AX72" s="3"/>
      <c r="AY72" s="3"/>
      <c r="AZ72" s="3"/>
    </row>
    <row r="73" spans="2:52" ht="19.95" customHeight="1" x14ac:dyDescent="0.3">
      <c r="B73" s="7" t="s">
        <v>651</v>
      </c>
      <c r="C73" s="7" t="s">
        <v>648</v>
      </c>
      <c r="D73" s="31">
        <v>0</v>
      </c>
      <c r="E73" s="8">
        <v>3</v>
      </c>
      <c r="F73" s="23"/>
      <c r="G73" s="23"/>
      <c r="H73" s="24"/>
      <c r="N73" s="3"/>
      <c r="O73" s="3"/>
      <c r="P73" s="3"/>
      <c r="Q73" s="3"/>
      <c r="R73" s="3"/>
      <c r="S73" s="3"/>
      <c r="T73" s="3"/>
      <c r="U73" s="3"/>
      <c r="V73" s="3"/>
      <c r="AW73" s="35"/>
      <c r="AX73" s="3"/>
      <c r="AY73" s="3"/>
      <c r="AZ73" s="3"/>
    </row>
    <row r="74" spans="2:52" ht="19.95" customHeight="1" x14ac:dyDescent="0.3">
      <c r="B74" s="67" t="s">
        <v>608</v>
      </c>
      <c r="C74" s="68"/>
      <c r="D74" s="68"/>
      <c r="E74" s="68"/>
      <c r="F74" s="68"/>
      <c r="G74" s="68"/>
      <c r="H74" s="69"/>
      <c r="N74" s="3"/>
      <c r="O74" s="3"/>
      <c r="P74" s="3"/>
      <c r="Q74" s="3"/>
      <c r="R74" s="3"/>
      <c r="S74" s="3"/>
      <c r="T74" s="3"/>
      <c r="U74" s="3"/>
      <c r="V74" s="3"/>
      <c r="AW74" s="35"/>
      <c r="AX74" s="3"/>
      <c r="AY74" s="3"/>
      <c r="AZ74" s="3"/>
    </row>
    <row r="75" spans="2:52" ht="19.95" customHeight="1" x14ac:dyDescent="0.3">
      <c r="B75" s="7" t="s">
        <v>652</v>
      </c>
      <c r="C75" s="7" t="s">
        <v>655</v>
      </c>
      <c r="D75" s="8">
        <v>3</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7004060</v>
      </c>
      <c r="AQ75" s="34" cm="1">
        <f t="array" ref="AQ75">SUMPRODUCT(($B$75:$B$80=AN75)*$D$75:$D$80)+SUMPRODUCT(($C$75:$C$80=AN75)*$E$75:$E$80)</f>
        <v>6</v>
      </c>
      <c r="AR75" s="34" cm="1">
        <f t="array" ref="AR75">SUMPRODUCT(($B$75:$B$80=AN75)*$E$75:$E$80)+SUMPRODUCT(($C$75:$C$80=AN75)*$D$75:$D$80)</f>
        <v>2</v>
      </c>
      <c r="AW75" s="35"/>
      <c r="AX75" s="3"/>
      <c r="AY75" s="3"/>
      <c r="AZ75" s="3"/>
    </row>
    <row r="76" spans="2:52" ht="19.95" customHeight="1" x14ac:dyDescent="0.3">
      <c r="B76" s="7" t="s">
        <v>653</v>
      </c>
      <c r="C76" s="7" t="s">
        <v>654</v>
      </c>
      <c r="D76" s="8">
        <v>0</v>
      </c>
      <c r="E76" s="8">
        <v>0</v>
      </c>
      <c r="F76" s="25" t="s">
        <v>58</v>
      </c>
      <c r="G76" s="10" t="str" cm="1">
        <f t="array" ref="G76">IF(SUMPRODUCT((LEN($D$75:$D$80)&gt;0)*(LEN($E$75:$E$80)&gt;0))=0,"",IFERROR(INDEX($AN$75:$AN$78,MATCH(LARGE($AP$75:$AP$78,2),$AP$75:$AP$78,0)),""))</f>
        <v>COLOMBIA</v>
      </c>
      <c r="H76" s="10" cm="1">
        <f t="array" ref="H76">IF(SUMPRODUCT((LEN($D$75:$D$80)&gt;0)*(LEN($E$75:$E$80)&gt;0))=0,"",IFERROR(INDEX($AO$75:$AO$78,MATCH(LARGE($AP$75:$AP$78,2),$AP$75:$AP$78,0)),""))</f>
        <v>5</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2997029</v>
      </c>
      <c r="AQ76" s="34" cm="1">
        <f t="array" ref="AQ76">SUMPRODUCT(($B$75:$B$80=AN76)*$D$75:$D$80)+SUMPRODUCT(($C$75:$C$80=AN76)*$E$75:$E$80)</f>
        <v>3</v>
      </c>
      <c r="AR76" s="34" cm="1">
        <f t="array" ref="AR76">SUMPRODUCT(($B$75:$B$80=AN76)*$E$75:$E$80)+SUMPRODUCT(($C$75:$C$80=AN76)*$D$75:$D$80)</f>
        <v>6</v>
      </c>
      <c r="AW76" s="35"/>
      <c r="AX76" s="3"/>
      <c r="AY76" s="3"/>
      <c r="AZ76" s="3"/>
    </row>
    <row r="77" spans="2:52" ht="19.95" customHeight="1" x14ac:dyDescent="0.3">
      <c r="B77" s="7" t="s">
        <v>652</v>
      </c>
      <c r="C77" s="7" t="s">
        <v>653</v>
      </c>
      <c r="D77" s="8">
        <v>1</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1</v>
      </c>
      <c r="AP77" s="34">
        <f>AO77*1000000+(AQ77-AR77)*1000+AQ77*10-2</f>
        <v>998008</v>
      </c>
      <c r="AQ77" s="34" cm="1">
        <f t="array" ref="AQ77">SUMPRODUCT(($B$75:$B$80=AN77)*$D$75:$D$80)+SUMPRODUCT(($C$75:$C$80=AN77)*$E$75:$E$80)</f>
        <v>1</v>
      </c>
      <c r="AR77" s="34" cm="1">
        <f t="array" ref="AR77">SUMPRODUCT(($B$75:$B$80=AN77)*$E$75:$E$80)+SUMPRODUCT(($C$75:$C$80=AN77)*$D$75:$D$80)</f>
        <v>3</v>
      </c>
      <c r="AW77" s="35"/>
      <c r="AX77" s="3"/>
      <c r="AY77" s="3"/>
      <c r="AZ77" s="3"/>
    </row>
    <row r="78" spans="2:52" ht="19.95" customHeight="1" x14ac:dyDescent="0.3">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1</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5</v>
      </c>
      <c r="AP78" s="34">
        <f>AO78*1000000+(AQ78-AR78)*1000+AQ78*10-3</f>
        <v>5001037</v>
      </c>
      <c r="AQ78" s="34" cm="1">
        <f t="array" ref="AQ78">SUMPRODUCT(($B$75:$B$80=AN78)*$D$75:$D$80)+SUMPRODUCT(($C$75:$C$80=AN78)*$E$75:$E$80)</f>
        <v>4</v>
      </c>
      <c r="AR78" s="34" cm="1">
        <f t="array" ref="AR78">SUMPRODUCT(($B$75:$B$80=AN78)*$E$75:$E$80)+SUMPRODUCT(($C$75:$C$80=AN78)*$D$75:$D$80)</f>
        <v>3</v>
      </c>
      <c r="AW78" s="35"/>
      <c r="AX78" s="3"/>
      <c r="AY78" s="3"/>
      <c r="AZ78" s="3"/>
    </row>
    <row r="79" spans="2:52" ht="19.95" customHeight="1" x14ac:dyDescent="0.3">
      <c r="B79" s="7" t="s">
        <v>654</v>
      </c>
      <c r="C79" s="7" t="s">
        <v>652</v>
      </c>
      <c r="D79" s="8">
        <v>2</v>
      </c>
      <c r="E79" s="8">
        <v>2</v>
      </c>
      <c r="H79" s="28"/>
      <c r="N79" s="3"/>
      <c r="O79" s="3"/>
      <c r="P79" s="3"/>
      <c r="Q79" s="3"/>
      <c r="R79" s="3"/>
      <c r="S79" s="3"/>
      <c r="T79" s="3"/>
      <c r="U79" s="3"/>
      <c r="V79" s="3"/>
      <c r="AW79" s="35"/>
      <c r="AX79" s="3"/>
      <c r="AY79" s="3"/>
      <c r="AZ79" s="3"/>
    </row>
    <row r="80" spans="2:52" ht="19.95" customHeight="1" x14ac:dyDescent="0.3">
      <c r="B80" s="7" t="s">
        <v>655</v>
      </c>
      <c r="C80" s="7" t="s">
        <v>653</v>
      </c>
      <c r="D80" s="8">
        <v>2</v>
      </c>
      <c r="E80" s="8">
        <v>1</v>
      </c>
      <c r="F80" s="23"/>
      <c r="G80" s="23"/>
      <c r="H80" s="24"/>
      <c r="N80" s="3"/>
      <c r="O80" s="3"/>
      <c r="P80" s="3"/>
      <c r="Q80" s="3"/>
      <c r="R80" s="3"/>
      <c r="S80" s="3"/>
      <c r="T80" s="3"/>
      <c r="U80" s="3"/>
      <c r="V80" s="3"/>
      <c r="AW80" s="35"/>
      <c r="AX80" s="3"/>
      <c r="AY80" s="3"/>
      <c r="AZ80" s="3"/>
    </row>
    <row r="81" spans="2:52" ht="19.95" customHeight="1" x14ac:dyDescent="0.3">
      <c r="B81" s="67" t="s">
        <v>609</v>
      </c>
      <c r="C81" s="68"/>
      <c r="D81" s="68"/>
      <c r="E81" s="68"/>
      <c r="F81" s="68"/>
      <c r="G81" s="68"/>
      <c r="H81" s="69"/>
      <c r="N81" s="3"/>
      <c r="O81" s="3"/>
      <c r="P81" s="3"/>
      <c r="Q81" s="3"/>
      <c r="R81" s="3"/>
      <c r="S81" s="3"/>
      <c r="T81" s="3"/>
      <c r="U81" s="3"/>
      <c r="V81" s="3"/>
      <c r="AW81" s="35"/>
      <c r="AX81" s="3"/>
      <c r="AY81" s="3"/>
      <c r="AZ81" s="3"/>
    </row>
    <row r="82" spans="2:52" ht="19.95" customHeight="1" x14ac:dyDescent="0.3">
      <c r="B82" s="7" t="s">
        <v>656</v>
      </c>
      <c r="C82" s="7" t="s">
        <v>659</v>
      </c>
      <c r="D82" s="8">
        <v>2</v>
      </c>
      <c r="E82" s="8">
        <v>3</v>
      </c>
      <c r="F82" s="25" t="s">
        <v>61</v>
      </c>
      <c r="G82" s="10" t="str" cm="1">
        <f t="array" ref="G82">IF(SUMPRODUCT((LEN($D$82:$D$87)&gt;0)*(LEN($E$82:$E$87)&gt;0))=0,"",IFERROR(INDEX($AN$82:$AN$85,MATCH(LARGE($AP$82:$AP$85,1),$AP$82:$AP$85,0)),""))</f>
        <v>CROATIA</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6</v>
      </c>
      <c r="AP82" s="34">
        <f>AO82*1000000+(AQ82-AR82)*1000+AQ82*10-0</f>
        <v>6003080</v>
      </c>
      <c r="AQ82" s="34" cm="1">
        <f t="array" ref="AQ82">SUMPRODUCT(($B$82:$B$87=AN82)*$D$82:$D$87)+SUMPRODUCT(($C$82:$C$87=AN82)*$E$82:$E$87)</f>
        <v>8</v>
      </c>
      <c r="AR82" s="34" cm="1">
        <f t="array" ref="AR82">SUMPRODUCT(($B$82:$B$87=AN82)*$E$82:$E$87)+SUMPRODUCT(($C$82:$C$87=AN82)*$D$82:$D$87)</f>
        <v>5</v>
      </c>
      <c r="AW82" s="35"/>
      <c r="AX82" s="3"/>
      <c r="AY82" s="3"/>
      <c r="AZ82" s="3"/>
    </row>
    <row r="83" spans="2:52" ht="19.95" customHeight="1" x14ac:dyDescent="0.3">
      <c r="B83" s="7" t="s">
        <v>657</v>
      </c>
      <c r="C83" s="7" t="s">
        <v>658</v>
      </c>
      <c r="D83" s="8">
        <v>1</v>
      </c>
      <c r="E83" s="8">
        <v>0</v>
      </c>
      <c r="F83" s="25" t="s">
        <v>62</v>
      </c>
      <c r="G83" s="10" t="str" cm="1">
        <f t="array" ref="G83">IF(SUMPRODUCT((LEN($D$82:$D$87)&gt;0)*(LEN($E$82:$E$87)&gt;0))=0,"",IFERROR(INDEX($AN$82:$AN$85,MATCH(LARGE($AP$82:$AP$85,2),$AP$82:$AP$85,0)),""))</f>
        <v>ENGLAND</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7</v>
      </c>
      <c r="AP83" s="34">
        <f>AO83*1000000+(AQ83-AR83)*1000+AQ83*10-1</f>
        <v>7002039</v>
      </c>
      <c r="AQ83" s="34" cm="1">
        <f t="array" ref="AQ83">SUMPRODUCT(($B$82:$B$87=AN83)*$D$82:$D$87)+SUMPRODUCT(($C$82:$C$87=AN83)*$E$82:$E$87)</f>
        <v>4</v>
      </c>
      <c r="AR83" s="34" cm="1">
        <f t="array" ref="AR83">SUMPRODUCT(($B$82:$B$87=AN83)*$E$82:$E$87)+SUMPRODUCT(($C$82:$C$87=AN83)*$D$82:$D$87)</f>
        <v>2</v>
      </c>
      <c r="AW83" s="35"/>
      <c r="AX83" s="3"/>
      <c r="AY83" s="3"/>
      <c r="AZ83" s="3"/>
    </row>
    <row r="84" spans="2:52" ht="19.95" customHeight="1" x14ac:dyDescent="0.3">
      <c r="B84" s="7" t="s">
        <v>656</v>
      </c>
      <c r="C84" s="7" t="s">
        <v>657</v>
      </c>
      <c r="D84" s="8">
        <v>2</v>
      </c>
      <c r="E84" s="8">
        <v>1</v>
      </c>
      <c r="F84" s="26" t="s">
        <v>63</v>
      </c>
      <c r="G84" s="17" t="str" cm="1">
        <f t="array" ref="G84">IF(SUMPRODUCT((LEN($D$82:$D$87)&gt;0)*(LEN($E$82:$E$87)&gt;0))=0,"",IFERROR(INDEX($AN$82:$AN$85,MATCH(LARGE($AP$82:$AP$85,3),$AP$82:$AP$85,0)),""))</f>
        <v>GHANA</v>
      </c>
      <c r="H84" s="17" cm="1">
        <f t="array" ref="H84">IF(SUMPRODUCT((LEN($D$82:$D$87)&gt;0)*(LEN($E$82:$E$87)&gt;0))=0,"",IFERROR(INDEX($AO$82:$AO$85,MATCH(LARGE($AP$82:$AP$85,3),$AP$82:$AP$85,0)),""))</f>
        <v>4</v>
      </c>
      <c r="AN84" s="34" t="str">
        <f>B83</f>
        <v>GHANA</v>
      </c>
      <c r="AO84" s="34" cm="1">
        <f t="array" ref="AO84">3*SUMPRODUCT(($B$82:$B$87=AN84)*($D$82:$D$87&gt;$E$82:$E$87))+3*SUMPRODUCT(($C$82:$C$87=AN84)*($E$82:$E$87&gt;$D$82:$D$87))+SUMPRODUCT((($B$82:$B$87=AN84)+($C$82:$C$87=AN84))*($D$82:$D$87=$E$82:$E$87)*(LEN($D$82:$D$87)&gt;0))</f>
        <v>4</v>
      </c>
      <c r="AP84" s="34">
        <f>AO84*1000000+(AQ84-AR84)*1000+AQ84*10-2</f>
        <v>4000018</v>
      </c>
      <c r="AQ84" s="34" cm="1">
        <f t="array" ref="AQ84">SUMPRODUCT(($B$82:$B$87=AN84)*$D$82:$D$87)+SUMPRODUCT(($C$82:$C$87=AN84)*$E$82:$E$87)</f>
        <v>2</v>
      </c>
      <c r="AR84" s="34" cm="1">
        <f t="array" ref="AR84">SUMPRODUCT(($B$82:$B$87=AN84)*$E$82:$E$87)+SUMPRODUCT(($C$82:$C$87=AN84)*$D$82:$D$87)</f>
        <v>2</v>
      </c>
      <c r="AW84" s="35"/>
      <c r="AX84" s="3"/>
      <c r="AY84" s="3"/>
      <c r="AZ84" s="3"/>
    </row>
    <row r="85" spans="2:52" ht="19.95" customHeight="1" x14ac:dyDescent="0.3">
      <c r="B85" s="7" t="s">
        <v>658</v>
      </c>
      <c r="C85" s="7" t="s">
        <v>659</v>
      </c>
      <c r="D85" s="8">
        <v>0</v>
      </c>
      <c r="E85" s="8">
        <v>1</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-4993</v>
      </c>
      <c r="AQ85" s="34" cm="1">
        <f t="array" ref="AQ85">SUMPRODUCT(($B$82:$B$87=AN85)*$D$82:$D$87)+SUMPRODUCT(($C$82:$C$87=AN85)*$E$82:$E$87)</f>
        <v>1</v>
      </c>
      <c r="AR85" s="34" cm="1">
        <f t="array" ref="AR85">SUMPRODUCT(($B$82:$B$87=AN85)*$E$82:$E$87)+SUMPRODUCT(($C$82:$C$87=AN85)*$D$82:$D$87)</f>
        <v>6</v>
      </c>
      <c r="AW85" s="35"/>
      <c r="AX85" s="3"/>
      <c r="AY85" s="3"/>
      <c r="AZ85" s="3"/>
    </row>
    <row r="86" spans="2:52" ht="19.95" customHeight="1" x14ac:dyDescent="0.3">
      <c r="B86" s="7" t="s">
        <v>658</v>
      </c>
      <c r="C86" s="7" t="s">
        <v>656</v>
      </c>
      <c r="D86" s="8">
        <v>1</v>
      </c>
      <c r="E86" s="8">
        <v>4</v>
      </c>
      <c r="H86" s="28"/>
      <c r="AW86" s="35"/>
      <c r="AX86" s="3"/>
      <c r="AY86" s="3"/>
      <c r="AZ86" s="3"/>
    </row>
    <row r="87" spans="2:52" ht="19.95" customHeight="1" x14ac:dyDescent="0.3">
      <c r="B87" s="7" t="s">
        <v>659</v>
      </c>
      <c r="C87" s="7" t="s">
        <v>657</v>
      </c>
      <c r="D87" s="8">
        <v>0</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 ref="L5:L6"/>
    <mergeCell ref="M5:M6"/>
    <mergeCell ref="B4:H4"/>
    <mergeCell ref="B2:H3"/>
    <mergeCell ref="Y2:AB3"/>
    <mergeCell ref="J2:M3"/>
    <mergeCell ref="O2:R3"/>
    <mergeCell ref="T2:W3"/>
    <mergeCell ref="B25:H25"/>
    <mergeCell ref="R23:R24"/>
    <mergeCell ref="B18:H18"/>
    <mergeCell ref="AB19:AB20"/>
    <mergeCell ref="B11:H11"/>
    <mergeCell ref="R15:R16"/>
    <mergeCell ref="AA19:AA20"/>
    <mergeCell ref="B32:H32"/>
    <mergeCell ref="B39:H39"/>
    <mergeCell ref="M37:M38"/>
    <mergeCell ref="L41:L42"/>
    <mergeCell ref="M41:M42"/>
    <mergeCell ref="B46:H46"/>
    <mergeCell ref="B53:H53"/>
    <mergeCell ref="B60:H60"/>
    <mergeCell ref="B67:H67"/>
    <mergeCell ref="B74:H74"/>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L61:L62"/>
    <mergeCell ref="M61:M62"/>
    <mergeCell ref="L45:L46"/>
    <mergeCell ref="M45:M46"/>
    <mergeCell ref="R31:R32"/>
    <mergeCell ref="R39:R40"/>
    <mergeCell ref="R7:R8"/>
    <mergeCell ref="AI42:AL43"/>
    <mergeCell ref="AI44:AJ44"/>
    <mergeCell ref="AK44:AL44"/>
    <mergeCell ref="AJ38:AL38"/>
    <mergeCell ref="AF43:AF44"/>
    <mergeCell ref="AG43:AG44"/>
    <mergeCell ref="AJ35:AL35"/>
    <mergeCell ref="AJ36:AL36"/>
    <mergeCell ref="AJ37:AL37"/>
    <mergeCell ref="AD63:AH66"/>
    <mergeCell ref="AJ63:AL66"/>
    <mergeCell ref="AD55:AL58"/>
    <mergeCell ref="V43:V44"/>
    <mergeCell ref="W43:W44"/>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82:E87 D61:E66 D75:E80 D16:E17 D12:E12 E13:E15 D13 D15 D21 D19:E20 D23:E24 E21:E22 E73 D68:E72"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Stefano Antonini</cp:lastModifiedBy>
  <dcterms:created xsi:type="dcterms:W3CDTF">2021-06-09T07:33:52Z</dcterms:created>
  <dcterms:modified xsi:type="dcterms:W3CDTF">2026-06-11T15:47:22Z</dcterms:modified>
</cp:coreProperties>
</file>